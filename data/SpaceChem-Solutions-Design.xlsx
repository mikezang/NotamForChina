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zang\python\RocketLaunch\data\"/>
    </mc:Choice>
  </mc:AlternateContent>
  <xr:revisionPtr revIDLastSave="0" documentId="13_ncr:1_{C9EF32D3-F3CC-4359-809C-7DE4B0C09161}" xr6:coauthVersionLast="47" xr6:coauthVersionMax="47" xr10:uidLastSave="{00000000-0000-0000-0000-000000000000}"/>
  <bookViews>
    <workbookView xWindow="-108" yWindow="-108" windowWidth="23256" windowHeight="12576" activeTab="3" xr2:uid="{05F54ECF-AADF-40BA-8504-508B8F176114}"/>
  </bookViews>
  <sheets>
    <sheet name="Index" sheetId="9" r:id="rId1"/>
    <sheet name="元素表" sheetId="4" r:id="rId2"/>
    <sheet name="FlipFlop" sheetId="5" r:id="rId3"/>
    <sheet name="V9I1-1" sheetId="20" r:id="rId4"/>
    <sheet name="V2I4" sheetId="18" r:id="rId5"/>
    <sheet name="Sheet1 (2)" sheetId="2" r:id="rId6"/>
    <sheet name="V7I4-3" sheetId="19" r:id="rId7"/>
    <sheet name="V7I3-3" sheetId="17" r:id="rId8"/>
    <sheet name="V9I1-2" sheetId="16" r:id="rId9"/>
    <sheet name="V5I5-2" sheetId="15" r:id="rId10"/>
    <sheet name="V9I4-2" sheetId="14" r:id="rId11"/>
    <sheet name="V6I2-" sheetId="8" r:id="rId12"/>
    <sheet name="V6I3-" sheetId="1" r:id="rId13"/>
    <sheet name="V7I6-" sheetId="7" r:id="rId14"/>
    <sheet name="V9I7-1" sheetId="3" r:id="rId15"/>
    <sheet name="V9I7-2" sheetId="11" r:id="rId16"/>
    <sheet name="V9I7-3" sheetId="10" r:id="rId17"/>
    <sheet name="V9I8-" sheetId="12" r:id="rId18"/>
    <sheet name="V9I12-" sheetId="13" r:id="rId19"/>
    <sheet name="V9I9-" sheetId="6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9" l="1"/>
  <c r="I7" i="19"/>
  <c r="H7" i="19"/>
  <c r="I6" i="19"/>
  <c r="H6" i="19"/>
  <c r="F7" i="19"/>
  <c r="E7" i="19"/>
  <c r="F6" i="19"/>
  <c r="E6" i="19"/>
  <c r="B11" i="18"/>
  <c r="B9" i="9"/>
  <c r="AA19" i="18"/>
  <c r="AB17" i="18"/>
  <c r="G15" i="18"/>
  <c r="B15" i="18"/>
  <c r="V15" i="18"/>
  <c r="Q15" i="18"/>
  <c r="B14" i="9"/>
  <c r="AS16" i="18"/>
  <c r="AR16" i="18"/>
  <c r="AQ16" i="18"/>
  <c r="AP16" i="18"/>
  <c r="AS15" i="18"/>
  <c r="AR15" i="18"/>
  <c r="AQ15" i="18"/>
  <c r="AP15" i="18"/>
  <c r="AS14" i="18"/>
  <c r="AR14" i="18"/>
  <c r="AQ14" i="18"/>
  <c r="AP14" i="18"/>
  <c r="AN14" i="18"/>
  <c r="AM14" i="18"/>
  <c r="AL14" i="18"/>
  <c r="AK14" i="18"/>
  <c r="AH14" i="18"/>
  <c r="AG14" i="18"/>
  <c r="AF14" i="18"/>
  <c r="AS13" i="18"/>
  <c r="AR13" i="18"/>
  <c r="AQ13" i="18"/>
  <c r="AP13" i="18"/>
  <c r="AN13" i="18"/>
  <c r="AM13" i="18"/>
  <c r="AL13" i="18"/>
  <c r="AK13" i="18"/>
  <c r="AH13" i="18"/>
  <c r="AG13" i="18"/>
  <c r="AF13" i="18"/>
  <c r="AS12" i="18"/>
  <c r="AR12" i="18"/>
  <c r="AQ12" i="18"/>
  <c r="AP12" i="18"/>
  <c r="AN12" i="18"/>
  <c r="AM12" i="18"/>
  <c r="AL12" i="18"/>
  <c r="AK12" i="18"/>
  <c r="AH12" i="18"/>
  <c r="AG12" i="18"/>
  <c r="AF12" i="18"/>
  <c r="AS11" i="18"/>
  <c r="AR11" i="18"/>
  <c r="AQ11" i="18"/>
  <c r="AP11" i="18"/>
  <c r="AN11" i="18"/>
  <c r="AM11" i="18"/>
  <c r="AL11" i="18"/>
  <c r="AK11" i="18"/>
  <c r="AK15" i="18" s="1"/>
  <c r="AJ20" i="18" s="1"/>
  <c r="AH11" i="18"/>
  <c r="AG11" i="18"/>
  <c r="AF15" i="18" s="1"/>
  <c r="AF20" i="18" s="1"/>
  <c r="AL20" i="18" s="1"/>
  <c r="AF11" i="18"/>
  <c r="AD16" i="18"/>
  <c r="AC16" i="18"/>
  <c r="AB16" i="18"/>
  <c r="AA16" i="18"/>
  <c r="AD15" i="18"/>
  <c r="AC15" i="18"/>
  <c r="AB15" i="18"/>
  <c r="AA15" i="18"/>
  <c r="AD14" i="18"/>
  <c r="AC14" i="18"/>
  <c r="AB14" i="18"/>
  <c r="AA14" i="18"/>
  <c r="Y14" i="18"/>
  <c r="X14" i="18"/>
  <c r="W14" i="18"/>
  <c r="V14" i="18"/>
  <c r="S14" i="18"/>
  <c r="R14" i="18"/>
  <c r="Q14" i="18"/>
  <c r="AD13" i="18"/>
  <c r="AC13" i="18"/>
  <c r="AB13" i="18"/>
  <c r="AA13" i="18"/>
  <c r="Y13" i="18"/>
  <c r="X13" i="18"/>
  <c r="W13" i="18"/>
  <c r="V13" i="18"/>
  <c r="S13" i="18"/>
  <c r="R13" i="18"/>
  <c r="Q13" i="18"/>
  <c r="AD12" i="18"/>
  <c r="AC12" i="18"/>
  <c r="AB12" i="18"/>
  <c r="AA12" i="18"/>
  <c r="Y12" i="18"/>
  <c r="X12" i="18"/>
  <c r="W12" i="18"/>
  <c r="V12" i="18"/>
  <c r="S12" i="18"/>
  <c r="R12" i="18"/>
  <c r="Q12" i="18"/>
  <c r="AD11" i="18"/>
  <c r="AC11" i="18"/>
  <c r="AB11" i="18"/>
  <c r="AA11" i="18"/>
  <c r="Y11" i="18"/>
  <c r="X11" i="18"/>
  <c r="W11" i="18"/>
  <c r="V11" i="18"/>
  <c r="S11" i="18"/>
  <c r="R11" i="18"/>
  <c r="Q11" i="18"/>
  <c r="O16" i="18"/>
  <c r="N16" i="18"/>
  <c r="M16" i="18"/>
  <c r="L16" i="18"/>
  <c r="O15" i="18"/>
  <c r="N15" i="18"/>
  <c r="M15" i="18"/>
  <c r="L15" i="18"/>
  <c r="O14" i="18"/>
  <c r="N14" i="18"/>
  <c r="M14" i="18"/>
  <c r="L14" i="18"/>
  <c r="O13" i="18"/>
  <c r="N13" i="18"/>
  <c r="M13" i="18"/>
  <c r="L13" i="18"/>
  <c r="O12" i="18"/>
  <c r="N12" i="18"/>
  <c r="M12" i="18"/>
  <c r="L12" i="18"/>
  <c r="O11" i="18"/>
  <c r="N11" i="18"/>
  <c r="M11" i="18"/>
  <c r="L11" i="18"/>
  <c r="J14" i="18"/>
  <c r="I14" i="18"/>
  <c r="H14" i="18"/>
  <c r="G14" i="18"/>
  <c r="J13" i="18"/>
  <c r="I13" i="18"/>
  <c r="H13" i="18"/>
  <c r="G13" i="18"/>
  <c r="J12" i="18"/>
  <c r="I12" i="18"/>
  <c r="H12" i="18"/>
  <c r="G12" i="18"/>
  <c r="J11" i="18"/>
  <c r="I11" i="18"/>
  <c r="G11" i="18"/>
  <c r="H11" i="18"/>
  <c r="B12" i="18"/>
  <c r="C12" i="18"/>
  <c r="D12" i="18"/>
  <c r="B13" i="18"/>
  <c r="C13" i="18"/>
  <c r="D13" i="18"/>
  <c r="B14" i="18"/>
  <c r="C14" i="18"/>
  <c r="D14" i="18"/>
  <c r="C11" i="18"/>
  <c r="D11" i="18"/>
  <c r="H21" i="16"/>
  <c r="J21" i="16" s="1"/>
  <c r="H20" i="16"/>
  <c r="J20" i="16" s="1"/>
  <c r="H19" i="16"/>
  <c r="J19" i="16" s="1"/>
  <c r="H18" i="16"/>
  <c r="J18" i="16" s="1"/>
  <c r="E5" i="16"/>
  <c r="G4" i="16"/>
  <c r="N16" i="16"/>
  <c r="P16" i="16"/>
  <c r="N15" i="16"/>
  <c r="P15" i="16" s="1"/>
  <c r="H13" i="16"/>
  <c r="J13" i="16" s="1"/>
  <c r="T13" i="16"/>
  <c r="V13" i="16" s="1"/>
  <c r="T12" i="16"/>
  <c r="V12" i="16" s="1"/>
  <c r="T11" i="16"/>
  <c r="V11" i="16" s="1"/>
  <c r="T10" i="16"/>
  <c r="V10" i="16" s="1"/>
  <c r="N14" i="16"/>
  <c r="P14" i="16" s="1"/>
  <c r="N13" i="16"/>
  <c r="P13" i="16" s="1"/>
  <c r="N12" i="16"/>
  <c r="P12" i="16" s="1"/>
  <c r="N11" i="16"/>
  <c r="P11" i="16" s="1"/>
  <c r="J11" i="16"/>
  <c r="J10" i="16"/>
  <c r="N10" i="16"/>
  <c r="P10" i="16" s="1"/>
  <c r="J12" i="16"/>
  <c r="H12" i="16"/>
  <c r="H11" i="16"/>
  <c r="H10" i="16"/>
  <c r="L4" i="15"/>
  <c r="B2" i="9"/>
  <c r="B5" i="9"/>
  <c r="B6" i="9"/>
  <c r="B8" i="9"/>
  <c r="B12" i="9"/>
  <c r="B13" i="9"/>
  <c r="B15" i="9"/>
  <c r="B11" i="9"/>
  <c r="B4" i="9"/>
  <c r="B7" i="9"/>
  <c r="B3" i="9"/>
  <c r="B16" i="9"/>
  <c r="B17" i="9"/>
  <c r="B18" i="9"/>
  <c r="B19" i="9"/>
  <c r="B20" i="9"/>
  <c r="B21" i="9"/>
  <c r="B22" i="9"/>
  <c r="B1" i="9"/>
  <c r="L4" i="14"/>
  <c r="S6" i="5"/>
  <c r="Q19" i="18" l="1"/>
  <c r="AP19" i="18"/>
  <c r="AO20" i="18" s="1"/>
  <c r="AS20" i="18" s="1"/>
  <c r="AF19" i="18"/>
  <c r="L19" i="18"/>
  <c r="B19" i="18"/>
  <c r="AH12" i="3"/>
  <c r="AG12" i="3"/>
  <c r="AF12" i="3"/>
  <c r="AE12" i="3"/>
  <c r="AD12" i="3"/>
  <c r="AC12" i="3"/>
  <c r="AB13" i="3" s="1"/>
  <c r="AB12" i="3"/>
  <c r="AR6" i="3"/>
  <c r="AQ6" i="3"/>
  <c r="AP6" i="3"/>
  <c r="AO6" i="3"/>
  <c r="AN6" i="3"/>
  <c r="AM6" i="3"/>
  <c r="AL6" i="3"/>
  <c r="U6" i="3"/>
  <c r="T6" i="3"/>
  <c r="S6" i="3"/>
  <c r="R6" i="3"/>
  <c r="Q6" i="3"/>
  <c r="P6" i="3"/>
  <c r="O6" i="3"/>
  <c r="AH6" i="3"/>
  <c r="AG6" i="3"/>
  <c r="AF6" i="3"/>
  <c r="AE6" i="3"/>
  <c r="AD6" i="3"/>
  <c r="AC6" i="3"/>
  <c r="AB6" i="3"/>
  <c r="E6" i="3"/>
  <c r="F6" i="3"/>
  <c r="G6" i="3"/>
  <c r="H6" i="3"/>
  <c r="I6" i="3"/>
  <c r="J6" i="3"/>
  <c r="K6" i="3"/>
  <c r="E13" i="3"/>
  <c r="G18" i="3"/>
  <c r="K19" i="3" s="1"/>
  <c r="E18" i="3"/>
  <c r="C19" i="3" s="1"/>
  <c r="F27" i="1"/>
  <c r="F26" i="1"/>
  <c r="F25" i="1"/>
  <c r="F23" i="1"/>
  <c r="F21" i="1"/>
  <c r="F19" i="1"/>
  <c r="F18" i="1"/>
  <c r="F17" i="1"/>
  <c r="F16" i="1"/>
  <c r="F15" i="1"/>
  <c r="F13" i="1"/>
  <c r="F11" i="1"/>
  <c r="F12" i="1"/>
  <c r="F10" i="1"/>
  <c r="F8" i="1"/>
  <c r="F7" i="1"/>
  <c r="F6" i="1"/>
  <c r="F9" i="1"/>
  <c r="L18" i="1"/>
  <c r="L19" i="1"/>
  <c r="AE14" i="1"/>
  <c r="AG14" i="1" s="1"/>
  <c r="AA19" i="1" s="1"/>
  <c r="AM6" i="1"/>
  <c r="AK7" i="1" s="1"/>
  <c r="AM7" i="1" s="1"/>
  <c r="O7" i="3" l="1"/>
  <c r="AL7" i="3"/>
  <c r="AB7" i="3"/>
  <c r="E7" i="3"/>
  <c r="E19" i="3"/>
  <c r="C20" i="3" s="1"/>
  <c r="G19" i="3"/>
  <c r="AC19" i="1"/>
  <c r="AA21" i="1" s="1"/>
  <c r="E20" i="3" l="1"/>
  <c r="C21" i="3" s="1"/>
  <c r="G20" i="3"/>
  <c r="I20" i="3" s="1"/>
  <c r="AE19" i="1"/>
  <c r="G21" i="3" l="1"/>
  <c r="I21" i="3" s="1"/>
  <c r="E21" i="3"/>
  <c r="C22" i="3" s="1"/>
  <c r="AC21" i="1"/>
  <c r="AA23" i="1" s="1"/>
  <c r="AE21" i="1"/>
  <c r="G22" i="3" l="1"/>
  <c r="I22" i="3" s="1"/>
  <c r="E22" i="3"/>
  <c r="C23" i="3" s="1"/>
  <c r="AE23" i="1"/>
  <c r="AC23" i="1"/>
  <c r="AA25" i="1" s="1"/>
  <c r="G23" i="3" l="1"/>
  <c r="I23" i="3" s="1"/>
  <c r="E23" i="3"/>
  <c r="C24" i="3" s="1"/>
  <c r="AE25" i="1"/>
  <c r="AC25" i="1"/>
  <c r="G24" i="3" l="1"/>
  <c r="E24" i="3"/>
  <c r="S18" i="3" l="1"/>
  <c r="W19" i="3" s="1"/>
  <c r="Q18" i="3"/>
  <c r="O19" i="3" s="1"/>
  <c r="S19" i="3" l="1"/>
  <c r="Q19" i="3"/>
  <c r="O20" i="3" s="1"/>
  <c r="I19" i="3" l="1"/>
  <c r="M19" i="3" s="1"/>
  <c r="K20" i="3" s="1"/>
  <c r="U19" i="3"/>
  <c r="Y19" i="3" s="1"/>
  <c r="W20" i="3" s="1"/>
  <c r="Q20" i="3"/>
  <c r="O21" i="3" s="1"/>
  <c r="S20" i="3"/>
  <c r="M20" i="3" l="1"/>
  <c r="K21" i="3" s="1"/>
  <c r="U20" i="3"/>
  <c r="Y20" i="3" s="1"/>
  <c r="W21" i="3" s="1"/>
  <c r="S21" i="3"/>
  <c r="Q21" i="3"/>
  <c r="O22" i="3" s="1"/>
  <c r="M21" i="3" l="1"/>
  <c r="K22" i="3" s="1"/>
  <c r="U21" i="3"/>
  <c r="Y21" i="3" s="1"/>
  <c r="W22" i="3" s="1"/>
  <c r="Q22" i="3"/>
  <c r="O23" i="3" s="1"/>
  <c r="S22" i="3"/>
  <c r="M22" i="3" l="1"/>
  <c r="K23" i="3" s="1"/>
  <c r="U22" i="3"/>
  <c r="Y22" i="3" s="1"/>
  <c r="W23" i="3" s="1"/>
  <c r="S23" i="3"/>
  <c r="Q23" i="3"/>
  <c r="O24" i="3" s="1"/>
  <c r="M23" i="3" l="1"/>
  <c r="U23" i="3"/>
  <c r="Y23" i="3" s="1"/>
  <c r="AA18" i="3" s="1"/>
  <c r="Q24" i="3"/>
  <c r="S24" i="3"/>
  <c r="AE18" i="3" l="1"/>
  <c r="AI19" i="3" s="1"/>
  <c r="AC18" i="3"/>
  <c r="AA19" i="3" s="1"/>
  <c r="AE19" i="3" l="1"/>
  <c r="AG19" i="3" s="1"/>
  <c r="AK19" i="3" s="1"/>
  <c r="AI20" i="3" s="1"/>
  <c r="AC19" i="3"/>
  <c r="AA20" i="3" s="1"/>
  <c r="AC20" i="3" l="1"/>
  <c r="AA21" i="3" s="1"/>
  <c r="AE20" i="3"/>
  <c r="AG20" i="3" s="1"/>
  <c r="AK20" i="3" s="1"/>
  <c r="AI21" i="3" s="1"/>
  <c r="AC21" i="3" l="1"/>
  <c r="AA22" i="3" s="1"/>
  <c r="AE21" i="3"/>
  <c r="AG21" i="3" s="1"/>
  <c r="AK21" i="3" s="1"/>
  <c r="AI22" i="3" s="1"/>
  <c r="AE22" i="3" l="1"/>
  <c r="AG22" i="3" s="1"/>
  <c r="AK22" i="3" s="1"/>
  <c r="AI23" i="3" s="1"/>
  <c r="AC22" i="3"/>
  <c r="AA23" i="3" s="1"/>
  <c r="AC23" i="3" l="1"/>
  <c r="AA24" i="3" s="1"/>
  <c r="AE23" i="3"/>
  <c r="AG23" i="3" s="1"/>
  <c r="AK23" i="3" s="1"/>
  <c r="AE24" i="3" l="1"/>
  <c r="AC24" i="3"/>
</calcChain>
</file>

<file path=xl/sharedStrings.xml><?xml version="1.0" encoding="utf-8"?>
<sst xmlns="http://schemas.openxmlformats.org/spreadsheetml/2006/main" count="2019" uniqueCount="420">
  <si>
    <t>N</t>
    <phoneticPr fontId="2"/>
  </si>
  <si>
    <t>P</t>
    <phoneticPr fontId="2"/>
  </si>
  <si>
    <t>S</t>
    <phoneticPr fontId="2"/>
  </si>
  <si>
    <t>Cl</t>
    <phoneticPr fontId="2"/>
  </si>
  <si>
    <t>V</t>
    <phoneticPr fontId="2"/>
  </si>
  <si>
    <t>Cr</t>
    <phoneticPr fontId="2"/>
  </si>
  <si>
    <t>Mn</t>
    <phoneticPr fontId="2"/>
  </si>
  <si>
    <t>Fe</t>
    <phoneticPr fontId="2"/>
  </si>
  <si>
    <t>Co</t>
    <phoneticPr fontId="2"/>
  </si>
  <si>
    <t>As</t>
    <phoneticPr fontId="2"/>
  </si>
  <si>
    <t>Se</t>
    <phoneticPr fontId="2"/>
  </si>
  <si>
    <t>Br</t>
    <phoneticPr fontId="2"/>
  </si>
  <si>
    <t>Nb</t>
    <phoneticPr fontId="2"/>
  </si>
  <si>
    <t>Mo</t>
    <phoneticPr fontId="2"/>
  </si>
  <si>
    <t>Tc</t>
    <phoneticPr fontId="2"/>
  </si>
  <si>
    <t>Ru</t>
    <phoneticPr fontId="2"/>
  </si>
  <si>
    <t>Pd</t>
    <phoneticPr fontId="2"/>
  </si>
  <si>
    <t>Rh</t>
    <phoneticPr fontId="2"/>
  </si>
  <si>
    <t>Sb</t>
    <phoneticPr fontId="2"/>
  </si>
  <si>
    <t>Te</t>
    <phoneticPr fontId="2"/>
  </si>
  <si>
    <t>I</t>
    <phoneticPr fontId="2"/>
  </si>
  <si>
    <t>Ta</t>
    <phoneticPr fontId="2"/>
  </si>
  <si>
    <t>W</t>
    <phoneticPr fontId="2"/>
  </si>
  <si>
    <t>Re</t>
    <phoneticPr fontId="2"/>
  </si>
  <si>
    <t>Os</t>
    <phoneticPr fontId="2"/>
  </si>
  <si>
    <t>Ir</t>
    <phoneticPr fontId="2"/>
  </si>
  <si>
    <t>Bi</t>
    <phoneticPr fontId="2"/>
  </si>
  <si>
    <t>Po</t>
    <phoneticPr fontId="2"/>
  </si>
  <si>
    <t>At</t>
    <phoneticPr fontId="2"/>
  </si>
  <si>
    <t>U</t>
    <phoneticPr fontId="2"/>
  </si>
  <si>
    <t>Pa</t>
    <phoneticPr fontId="2"/>
  </si>
  <si>
    <t>Np</t>
    <phoneticPr fontId="2"/>
  </si>
  <si>
    <t>Pu</t>
    <phoneticPr fontId="2"/>
  </si>
  <si>
    <t>Am</t>
    <phoneticPr fontId="2"/>
  </si>
  <si>
    <t>Db</t>
    <phoneticPr fontId="2"/>
  </si>
  <si>
    <t>Sg</t>
    <phoneticPr fontId="2"/>
  </si>
  <si>
    <t>Bh</t>
    <phoneticPr fontId="2"/>
  </si>
  <si>
    <t>Hs</t>
    <phoneticPr fontId="2"/>
  </si>
  <si>
    <t>Mt</t>
    <phoneticPr fontId="2"/>
  </si>
  <si>
    <t>=</t>
    <phoneticPr fontId="2"/>
  </si>
  <si>
    <t>+</t>
    <phoneticPr fontId="2"/>
  </si>
  <si>
    <t>Bonds＞４</t>
    <phoneticPr fontId="2"/>
  </si>
  <si>
    <t>Bonds＝４</t>
    <phoneticPr fontId="2"/>
  </si>
  <si>
    <t>C</t>
    <phoneticPr fontId="2"/>
  </si>
  <si>
    <t>Si</t>
    <phoneticPr fontId="2"/>
  </si>
  <si>
    <t>Ti</t>
    <phoneticPr fontId="2"/>
  </si>
  <si>
    <t>Ni</t>
    <phoneticPr fontId="2"/>
  </si>
  <si>
    <t>Cu</t>
    <phoneticPr fontId="2"/>
  </si>
  <si>
    <t>Ge</t>
    <phoneticPr fontId="2"/>
  </si>
  <si>
    <t>Zr</t>
    <phoneticPr fontId="2"/>
  </si>
  <si>
    <t>Ag</t>
    <phoneticPr fontId="2"/>
  </si>
  <si>
    <t>Sn</t>
    <phoneticPr fontId="2"/>
  </si>
  <si>
    <t>Hf</t>
    <phoneticPr fontId="2"/>
  </si>
  <si>
    <t>Pt</t>
    <phoneticPr fontId="2"/>
  </si>
  <si>
    <t>Au</t>
    <phoneticPr fontId="2"/>
  </si>
  <si>
    <t>Pb</t>
    <phoneticPr fontId="2"/>
  </si>
  <si>
    <t>Ce</t>
    <phoneticPr fontId="2"/>
  </si>
  <si>
    <t>Pr</t>
    <phoneticPr fontId="2"/>
  </si>
  <si>
    <t>Tb</t>
    <phoneticPr fontId="2"/>
  </si>
  <si>
    <t>Th</t>
    <phoneticPr fontId="2"/>
  </si>
  <si>
    <t>Cm</t>
    <phoneticPr fontId="2"/>
  </si>
  <si>
    <t>Bk</t>
    <phoneticPr fontId="2"/>
  </si>
  <si>
    <t>Cf</t>
    <phoneticPr fontId="2"/>
  </si>
  <si>
    <t>Rf</t>
    <phoneticPr fontId="2"/>
  </si>
  <si>
    <t>①</t>
    <phoneticPr fontId="2"/>
  </si>
  <si>
    <t>②</t>
    <phoneticPr fontId="2"/>
  </si>
  <si>
    <t>＋</t>
    <phoneticPr fontId="2"/>
  </si>
  <si>
    <t>③</t>
    <phoneticPr fontId="2"/>
  </si>
  <si>
    <t>④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</si>
  <si>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</si>
  <si>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</si>
  <si>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</si>
  <si>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</si>
  <si>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</si>
  <si>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</si>
  <si>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</si>
  <si>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</si>
  <si>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⑬</t>
    <phoneticPr fontId="2"/>
  </si>
  <si>
    <t>Output:  N + Si</t>
    <phoneticPr fontId="2"/>
  </si>
  <si>
    <t>Input: SiN</t>
    <phoneticPr fontId="2"/>
  </si>
  <si>
    <t>＝</t>
    <phoneticPr fontId="2"/>
  </si>
  <si>
    <t>?</t>
    <phoneticPr fontId="2"/>
  </si>
  <si>
    <t>&gt;=</t>
    <phoneticPr fontId="2"/>
  </si>
  <si>
    <t>⇒</t>
    <phoneticPr fontId="2"/>
  </si>
  <si>
    <t>？</t>
    <phoneticPr fontId="2"/>
  </si>
  <si>
    <t>ー</t>
    <phoneticPr fontId="2"/>
  </si>
  <si>
    <t>｜</t>
    <phoneticPr fontId="2"/>
  </si>
  <si>
    <t>II</t>
    <phoneticPr fontId="2"/>
  </si>
  <si>
    <t>SI</t>
    <phoneticPr fontId="2"/>
  </si>
  <si>
    <t>Fusion</t>
    <phoneticPr fontId="2"/>
  </si>
  <si>
    <t>Fission</t>
  </si>
  <si>
    <t>x</t>
    <phoneticPr fontId="2"/>
  </si>
  <si>
    <t>Li</t>
    <phoneticPr fontId="2"/>
  </si>
  <si>
    <t>Al</t>
    <phoneticPr fontId="2"/>
  </si>
  <si>
    <t>⑭</t>
    <phoneticPr fontId="2"/>
  </si>
  <si>
    <t>⑮</t>
    <phoneticPr fontId="2"/>
  </si>
  <si>
    <t>⑯</t>
    <phoneticPr fontId="2"/>
  </si>
  <si>
    <t>⑰</t>
    <phoneticPr fontId="2"/>
  </si>
  <si>
    <t>⑱</t>
    <phoneticPr fontId="2"/>
  </si>
  <si>
    <t>⑲</t>
    <phoneticPr fontId="2"/>
  </si>
  <si>
    <t>⑳</t>
    <phoneticPr fontId="2"/>
  </si>
  <si>
    <t>㉑</t>
    <phoneticPr fontId="2"/>
  </si>
  <si>
    <t>㉒</t>
    <phoneticPr fontId="2"/>
  </si>
  <si>
    <t>㉓</t>
    <phoneticPr fontId="2"/>
  </si>
  <si>
    <t>㉔</t>
    <phoneticPr fontId="2"/>
  </si>
  <si>
    <t>㉕</t>
    <phoneticPr fontId="2"/>
  </si>
  <si>
    <t>㉖</t>
    <phoneticPr fontId="2"/>
  </si>
  <si>
    <t>㉗</t>
    <phoneticPr fontId="2"/>
  </si>
  <si>
    <t>FlipFlop</t>
    <phoneticPr fontId="2"/>
  </si>
  <si>
    <t>No</t>
    <phoneticPr fontId="2"/>
  </si>
  <si>
    <t>Count</t>
    <phoneticPr fontId="2"/>
  </si>
  <si>
    <t>Number</t>
    <phoneticPr fontId="2"/>
  </si>
  <si>
    <t>Total</t>
    <phoneticPr fontId="2"/>
  </si>
  <si>
    <t>Fission 109(Mt)</t>
    <phoneticPr fontId="2"/>
  </si>
  <si>
    <t>Fission 107(Bh)</t>
    <phoneticPr fontId="2"/>
  </si>
  <si>
    <t>H</t>
    <phoneticPr fontId="2"/>
  </si>
  <si>
    <t>Hydrogen</t>
    <phoneticPr fontId="2"/>
  </si>
  <si>
    <t>Lithium</t>
    <phoneticPr fontId="2"/>
  </si>
  <si>
    <t>Be</t>
    <phoneticPr fontId="2"/>
  </si>
  <si>
    <t>Beryllium</t>
    <phoneticPr fontId="2"/>
  </si>
  <si>
    <t>Na</t>
    <phoneticPr fontId="2"/>
  </si>
  <si>
    <t>Sodium</t>
    <phoneticPr fontId="2"/>
  </si>
  <si>
    <t>Mg</t>
    <phoneticPr fontId="2"/>
  </si>
  <si>
    <t>Magnesium</t>
    <phoneticPr fontId="2"/>
  </si>
  <si>
    <t>K</t>
    <phoneticPr fontId="2"/>
  </si>
  <si>
    <t>Potassium</t>
    <phoneticPr fontId="2"/>
  </si>
  <si>
    <t>Ca</t>
    <phoneticPr fontId="2"/>
  </si>
  <si>
    <t>Calcium</t>
    <phoneticPr fontId="2"/>
  </si>
  <si>
    <t>Rb</t>
    <phoneticPr fontId="2"/>
  </si>
  <si>
    <t>Rubidium</t>
    <phoneticPr fontId="2"/>
  </si>
  <si>
    <t>Sr</t>
    <phoneticPr fontId="2"/>
  </si>
  <si>
    <t>Strongtium</t>
    <phoneticPr fontId="2"/>
  </si>
  <si>
    <t>Ba</t>
    <phoneticPr fontId="2"/>
  </si>
  <si>
    <t>Cs</t>
    <phoneticPr fontId="2"/>
  </si>
  <si>
    <t>Caesium</t>
    <phoneticPr fontId="2"/>
  </si>
  <si>
    <t>Barium</t>
    <phoneticPr fontId="2"/>
  </si>
  <si>
    <t>Ra</t>
    <phoneticPr fontId="2"/>
  </si>
  <si>
    <t>Fr</t>
    <phoneticPr fontId="2"/>
  </si>
  <si>
    <t>Francium</t>
    <phoneticPr fontId="2"/>
  </si>
  <si>
    <t>Radium</t>
    <phoneticPr fontId="2"/>
  </si>
  <si>
    <t>Sc</t>
    <phoneticPr fontId="2"/>
  </si>
  <si>
    <t>Scandium</t>
    <phoneticPr fontId="2"/>
  </si>
  <si>
    <t>Y</t>
    <phoneticPr fontId="2"/>
  </si>
  <si>
    <t>Yttrium</t>
    <phoneticPr fontId="2"/>
  </si>
  <si>
    <t>Lu</t>
    <phoneticPr fontId="2"/>
  </si>
  <si>
    <t>Lutetium</t>
    <phoneticPr fontId="2"/>
  </si>
  <si>
    <t>Lr</t>
    <phoneticPr fontId="2"/>
  </si>
  <si>
    <t>Lawraencium</t>
    <phoneticPr fontId="2"/>
  </si>
  <si>
    <t>Titanium</t>
    <phoneticPr fontId="2"/>
  </si>
  <si>
    <t>Zirconium</t>
    <phoneticPr fontId="2"/>
  </si>
  <si>
    <t>Hafnium</t>
    <phoneticPr fontId="2"/>
  </si>
  <si>
    <t>Rutherfordium</t>
    <phoneticPr fontId="2"/>
  </si>
  <si>
    <t>*</t>
    <phoneticPr fontId="2"/>
  </si>
  <si>
    <t>**</t>
    <phoneticPr fontId="2"/>
  </si>
  <si>
    <t xml:space="preserve"> </t>
    <phoneticPr fontId="2"/>
  </si>
  <si>
    <t>O</t>
    <phoneticPr fontId="2"/>
  </si>
  <si>
    <t>F</t>
    <phoneticPr fontId="2"/>
  </si>
  <si>
    <t>Ne</t>
    <phoneticPr fontId="2"/>
  </si>
  <si>
    <t>He</t>
    <phoneticPr fontId="2"/>
  </si>
  <si>
    <t>Ar</t>
    <phoneticPr fontId="2"/>
  </si>
  <si>
    <t>Zn</t>
    <phoneticPr fontId="2"/>
  </si>
  <si>
    <t>Ga</t>
    <phoneticPr fontId="2"/>
  </si>
  <si>
    <t>Kr</t>
    <phoneticPr fontId="2"/>
  </si>
  <si>
    <t>Cd</t>
    <phoneticPr fontId="2"/>
  </si>
  <si>
    <t>In</t>
    <phoneticPr fontId="2"/>
  </si>
  <si>
    <t>Xe</t>
    <phoneticPr fontId="2"/>
  </si>
  <si>
    <t>Hg</t>
    <phoneticPr fontId="2"/>
  </si>
  <si>
    <t>Tl</t>
    <phoneticPr fontId="2"/>
  </si>
  <si>
    <t>Rn</t>
    <phoneticPr fontId="2"/>
  </si>
  <si>
    <t>Ds</t>
    <phoneticPr fontId="2"/>
  </si>
  <si>
    <t>Rg</t>
    <phoneticPr fontId="2"/>
  </si>
  <si>
    <t>Cn</t>
    <phoneticPr fontId="2"/>
  </si>
  <si>
    <t>Nh</t>
    <phoneticPr fontId="2"/>
  </si>
  <si>
    <t>Fl</t>
    <phoneticPr fontId="2"/>
  </si>
  <si>
    <t>Mc</t>
    <phoneticPr fontId="2"/>
  </si>
  <si>
    <t>Lv</t>
    <phoneticPr fontId="2"/>
  </si>
  <si>
    <t>Ts</t>
    <phoneticPr fontId="2"/>
  </si>
  <si>
    <t>Or</t>
    <phoneticPr fontId="2"/>
  </si>
  <si>
    <t>La</t>
    <phoneticPr fontId="2"/>
  </si>
  <si>
    <t>Nd</t>
    <phoneticPr fontId="2"/>
  </si>
  <si>
    <t>Pm</t>
    <phoneticPr fontId="2"/>
  </si>
  <si>
    <t>Sm</t>
    <phoneticPr fontId="2"/>
  </si>
  <si>
    <t>Eu</t>
    <phoneticPr fontId="2"/>
  </si>
  <si>
    <t>Gd</t>
    <phoneticPr fontId="2"/>
  </si>
  <si>
    <t>Dy</t>
    <phoneticPr fontId="2"/>
  </si>
  <si>
    <t>Ho</t>
    <phoneticPr fontId="2"/>
  </si>
  <si>
    <t>Er</t>
    <phoneticPr fontId="2"/>
  </si>
  <si>
    <t>Tm</t>
    <phoneticPr fontId="2"/>
  </si>
  <si>
    <t>Yb</t>
    <phoneticPr fontId="2"/>
  </si>
  <si>
    <t>Ac</t>
    <phoneticPr fontId="2"/>
  </si>
  <si>
    <t>Es</t>
    <phoneticPr fontId="2"/>
  </si>
  <si>
    <t>Fm</t>
    <phoneticPr fontId="2"/>
  </si>
  <si>
    <t>Md</t>
    <phoneticPr fontId="2"/>
  </si>
  <si>
    <t>B</t>
    <phoneticPr fontId="2"/>
  </si>
  <si>
    <t>ニホニウム</t>
    <phoneticPr fontId="2"/>
  </si>
  <si>
    <t>フレロビウム</t>
    <phoneticPr fontId="2"/>
  </si>
  <si>
    <t>モスコビウム</t>
    <phoneticPr fontId="2"/>
  </si>
  <si>
    <t>リバモリウム</t>
    <phoneticPr fontId="2"/>
  </si>
  <si>
    <t>テネシン</t>
    <phoneticPr fontId="2"/>
  </si>
  <si>
    <t>オガネソン</t>
    <phoneticPr fontId="2"/>
  </si>
  <si>
    <r>
      <rPr>
        <b/>
        <sz val="14"/>
        <color theme="1"/>
        <rFont val="Microsoft YaHei"/>
        <family val="3"/>
        <charset val="134"/>
      </rPr>
      <t>锰</t>
    </r>
    <r>
      <rPr>
        <b/>
        <sz val="14"/>
        <color theme="1"/>
        <rFont val="游ゴシック"/>
        <family val="3"/>
        <charset val="128"/>
        <scheme val="minor"/>
      </rPr>
      <t>マンガン</t>
    </r>
    <phoneticPr fontId="2"/>
  </si>
  <si>
    <r>
      <rPr>
        <b/>
        <sz val="14"/>
        <color theme="1"/>
        <rFont val="Microsoft YaHei"/>
        <family val="3"/>
        <charset val="134"/>
      </rPr>
      <t>锝</t>
    </r>
    <r>
      <rPr>
        <b/>
        <sz val="14"/>
        <color theme="1"/>
        <rFont val="游ゴシック"/>
        <family val="3"/>
        <charset val="128"/>
        <scheme val="minor"/>
      </rPr>
      <t>テクネチウム</t>
    </r>
    <phoneticPr fontId="2"/>
  </si>
  <si>
    <r>
      <rPr>
        <b/>
        <sz val="14"/>
        <color theme="1"/>
        <rFont val="Microsoft YaHei"/>
        <family val="3"/>
        <charset val="134"/>
      </rPr>
      <t>铼</t>
    </r>
    <r>
      <rPr>
        <b/>
        <sz val="14"/>
        <color theme="1"/>
        <rFont val="游ゴシック"/>
        <family val="3"/>
        <charset val="128"/>
        <scheme val="minor"/>
      </rPr>
      <t>レニウム</t>
    </r>
    <phoneticPr fontId="2"/>
  </si>
  <si>
    <t>FF</t>
    <phoneticPr fontId="2"/>
  </si>
  <si>
    <t>Return</t>
    <phoneticPr fontId="2"/>
  </si>
  <si>
    <t>-&gt;</t>
    <phoneticPr fontId="2"/>
  </si>
  <si>
    <t>O2</t>
    <phoneticPr fontId="2"/>
  </si>
  <si>
    <t>8x2</t>
    <phoneticPr fontId="2"/>
  </si>
  <si>
    <t>2 Bond+</t>
    <phoneticPr fontId="2"/>
  </si>
  <si>
    <t>2 Bond-</t>
    <phoneticPr fontId="2"/>
  </si>
  <si>
    <t>1 Bond-</t>
    <phoneticPr fontId="2"/>
  </si>
  <si>
    <t>3 Bond+</t>
    <phoneticPr fontId="2"/>
  </si>
  <si>
    <t>=</t>
  </si>
  <si>
    <t>+</t>
  </si>
  <si>
    <t>H1</t>
    <phoneticPr fontId="2"/>
  </si>
  <si>
    <t>Cl17</t>
    <phoneticPr fontId="2"/>
  </si>
  <si>
    <t>C6</t>
    <phoneticPr fontId="2"/>
  </si>
  <si>
    <t>O8</t>
    <phoneticPr fontId="2"/>
  </si>
  <si>
    <t>Input:</t>
    <phoneticPr fontId="2"/>
  </si>
  <si>
    <t>Output:</t>
    <phoneticPr fontId="2"/>
  </si>
  <si>
    <t>C(6)</t>
    <phoneticPr fontId="2"/>
  </si>
  <si>
    <t>O(8)</t>
    <phoneticPr fontId="2"/>
  </si>
  <si>
    <t>C(l17)</t>
    <phoneticPr fontId="2"/>
  </si>
  <si>
    <t>6 x H(1)</t>
    <phoneticPr fontId="2"/>
  </si>
  <si>
    <t>8 x H(1)</t>
    <phoneticPr fontId="2"/>
  </si>
  <si>
    <t>17 x H(1)</t>
    <phoneticPr fontId="2"/>
  </si>
  <si>
    <r>
      <t>H</t>
    </r>
    <r>
      <rPr>
        <sz val="14"/>
        <color theme="1"/>
        <rFont val="游ゴシック"/>
        <family val="2"/>
        <charset val="128"/>
      </rPr>
      <t>(1)</t>
    </r>
    <phoneticPr fontId="2"/>
  </si>
  <si>
    <r>
      <t>C</t>
    </r>
    <r>
      <rPr>
        <sz val="14"/>
        <color theme="1"/>
        <rFont val="游ゴシック"/>
        <family val="2"/>
        <charset val="128"/>
      </rPr>
      <t>(6)</t>
    </r>
    <phoneticPr fontId="2"/>
  </si>
  <si>
    <t>2 x C(6) + 4 x H(1)</t>
    <phoneticPr fontId="2"/>
  </si>
  <si>
    <t>2 x 6 x H(1) + 4 x H(1)</t>
    <phoneticPr fontId="2"/>
  </si>
  <si>
    <t>16 x H(1)</t>
    <phoneticPr fontId="2"/>
  </si>
  <si>
    <t>C(6) + 2 x H(1)</t>
    <phoneticPr fontId="2"/>
  </si>
  <si>
    <t>6 x H(1)+ 2 x H(1)</t>
    <phoneticPr fontId="2"/>
  </si>
  <si>
    <t>12 x C(6) + 2 x O(8) + 4 x Cl(17) + 4 x H(1)</t>
    <phoneticPr fontId="2"/>
  </si>
  <si>
    <t>12 x 6 x H(1) + 2 x 8 x H(1) + 4 x 17 x H(1) + 4 x H(1)</t>
    <phoneticPr fontId="2"/>
  </si>
  <si>
    <t>72 x H(1) + 16 x H(1) + 68 x H(1) + 4 x H(1)</t>
    <phoneticPr fontId="2"/>
  </si>
  <si>
    <t>160 x H(1)</t>
    <phoneticPr fontId="2"/>
  </si>
  <si>
    <t>88 x H(1) + 72 x H(1)</t>
    <phoneticPr fontId="2"/>
  </si>
  <si>
    <r>
      <t>C</t>
    </r>
    <r>
      <rPr>
        <vertAlign val="subscript"/>
        <sz val="14"/>
        <color theme="1"/>
        <rFont val="游ゴシック"/>
        <family val="3"/>
        <charset val="128"/>
        <scheme val="minor"/>
      </rPr>
      <t>2</t>
    </r>
    <r>
      <rPr>
        <sz val="14"/>
        <color theme="1"/>
        <rFont val="游ゴシック"/>
        <family val="2"/>
        <charset val="128"/>
        <scheme val="minor"/>
      </rPr>
      <t>H</t>
    </r>
    <r>
      <rPr>
        <vertAlign val="subscript"/>
        <sz val="14"/>
        <color theme="1"/>
        <rFont val="游ゴシック"/>
        <family val="3"/>
        <charset val="128"/>
        <scheme val="minor"/>
      </rPr>
      <t>4</t>
    </r>
    <phoneticPr fontId="2"/>
  </si>
  <si>
    <r>
      <t>CH</t>
    </r>
    <r>
      <rPr>
        <vertAlign val="subscript"/>
        <sz val="14"/>
        <color theme="1"/>
        <rFont val="游ゴシック"/>
        <family val="3"/>
        <charset val="128"/>
        <scheme val="minor"/>
      </rPr>
      <t>2</t>
    </r>
    <phoneticPr fontId="2"/>
  </si>
  <si>
    <r>
      <t>C</t>
    </r>
    <r>
      <rPr>
        <vertAlign val="subscript"/>
        <sz val="14"/>
        <color theme="1"/>
        <rFont val="游ゴシック"/>
        <family val="3"/>
        <charset val="128"/>
        <scheme val="minor"/>
      </rPr>
      <t>12</t>
    </r>
    <r>
      <rPr>
        <sz val="14"/>
        <color theme="1"/>
        <rFont val="游ゴシック"/>
        <family val="2"/>
        <charset val="128"/>
        <scheme val="minor"/>
      </rPr>
      <t>O</t>
    </r>
    <r>
      <rPr>
        <vertAlign val="subscript"/>
        <sz val="14"/>
        <color theme="1"/>
        <rFont val="游ゴシック"/>
        <family val="3"/>
        <charset val="128"/>
        <scheme val="minor"/>
      </rPr>
      <t>2</t>
    </r>
    <r>
      <rPr>
        <sz val="14"/>
        <color theme="1"/>
        <rFont val="游ゴシック"/>
        <family val="2"/>
        <charset val="128"/>
        <scheme val="minor"/>
      </rPr>
      <t>Cl</t>
    </r>
    <r>
      <rPr>
        <vertAlign val="subscript"/>
        <sz val="14"/>
        <color theme="1"/>
        <rFont val="游ゴシック"/>
        <family val="3"/>
        <charset val="128"/>
        <scheme val="minor"/>
      </rPr>
      <t>4</t>
    </r>
    <r>
      <rPr>
        <sz val="14"/>
        <color theme="1"/>
        <rFont val="游ゴシック"/>
        <family val="2"/>
        <charset val="128"/>
        <scheme val="minor"/>
      </rPr>
      <t>H</t>
    </r>
    <r>
      <rPr>
        <vertAlign val="subscript"/>
        <sz val="14"/>
        <color theme="1"/>
        <rFont val="游ゴシック"/>
        <family val="3"/>
        <charset val="128"/>
        <scheme val="minor"/>
      </rPr>
      <t>4</t>
    </r>
    <phoneticPr fontId="2"/>
  </si>
  <si>
    <t>So:</t>
    <phoneticPr fontId="2"/>
  </si>
  <si>
    <r>
      <t>10 x C</t>
    </r>
    <r>
      <rPr>
        <vertAlign val="subscript"/>
        <sz val="14"/>
        <color theme="1"/>
        <rFont val="游ゴシック"/>
        <family val="3"/>
        <charset val="128"/>
        <scheme val="minor"/>
      </rPr>
      <t>2</t>
    </r>
    <r>
      <rPr>
        <sz val="14"/>
        <color theme="1"/>
        <rFont val="游ゴシック"/>
        <family val="2"/>
        <charset val="128"/>
        <scheme val="minor"/>
      </rPr>
      <t>H</t>
    </r>
    <r>
      <rPr>
        <vertAlign val="subscript"/>
        <sz val="14"/>
        <color theme="1"/>
        <rFont val="游ゴシック"/>
        <family val="3"/>
        <charset val="128"/>
        <scheme val="minor"/>
      </rPr>
      <t>4</t>
    </r>
    <phoneticPr fontId="2"/>
  </si>
  <si>
    <r>
      <t>9 x C</t>
    </r>
    <r>
      <rPr>
        <vertAlign val="subscript"/>
        <sz val="14"/>
        <color theme="1"/>
        <rFont val="游ゴシック"/>
        <family val="3"/>
        <charset val="128"/>
        <scheme val="minor"/>
      </rPr>
      <t>2</t>
    </r>
    <r>
      <rPr>
        <sz val="14"/>
        <color theme="1"/>
        <rFont val="游ゴシック"/>
        <family val="2"/>
        <charset val="128"/>
        <scheme val="minor"/>
      </rPr>
      <t>H</t>
    </r>
    <r>
      <rPr>
        <vertAlign val="subscript"/>
        <sz val="14"/>
        <color theme="1"/>
        <rFont val="游ゴシック"/>
        <family val="3"/>
        <charset val="128"/>
        <scheme val="minor"/>
      </rPr>
      <t xml:space="preserve">4 </t>
    </r>
    <r>
      <rPr>
        <sz val="14"/>
        <color theme="1"/>
        <rFont val="游ゴシック"/>
        <family val="3"/>
        <charset val="128"/>
        <scheme val="minor"/>
      </rPr>
      <t>+ 2 x CH</t>
    </r>
    <r>
      <rPr>
        <vertAlign val="subscript"/>
        <sz val="14"/>
        <color theme="1"/>
        <rFont val="游ゴシック"/>
        <family val="3"/>
        <charset val="128"/>
        <scheme val="minor"/>
      </rPr>
      <t>2</t>
    </r>
    <phoneticPr fontId="2"/>
  </si>
  <si>
    <r>
      <t>8 x C</t>
    </r>
    <r>
      <rPr>
        <vertAlign val="subscript"/>
        <sz val="14"/>
        <color theme="1"/>
        <rFont val="游ゴシック"/>
        <family val="3"/>
        <charset val="128"/>
        <scheme val="minor"/>
      </rPr>
      <t>2</t>
    </r>
    <r>
      <rPr>
        <sz val="14"/>
        <color theme="1"/>
        <rFont val="游ゴシック"/>
        <family val="2"/>
        <charset val="128"/>
        <scheme val="minor"/>
      </rPr>
      <t>H</t>
    </r>
    <r>
      <rPr>
        <vertAlign val="subscript"/>
        <sz val="14"/>
        <color theme="1"/>
        <rFont val="游ゴシック"/>
        <family val="3"/>
        <charset val="128"/>
        <scheme val="minor"/>
      </rPr>
      <t>4</t>
    </r>
    <r>
      <rPr>
        <sz val="14"/>
        <color theme="1"/>
        <rFont val="游ゴシック"/>
        <family val="3"/>
        <charset val="128"/>
        <scheme val="minor"/>
      </rPr>
      <t xml:space="preserve"> + 4 x</t>
    </r>
    <r>
      <rPr>
        <vertAlign val="subscript"/>
        <sz val="14"/>
        <color theme="1"/>
        <rFont val="游ゴシック"/>
        <family val="3"/>
        <charset val="128"/>
        <scheme val="minor"/>
      </rPr>
      <t xml:space="preserve"> </t>
    </r>
    <r>
      <rPr>
        <sz val="14"/>
        <color theme="1"/>
        <rFont val="游ゴシック"/>
        <family val="3"/>
        <charset val="128"/>
        <scheme val="minor"/>
      </rPr>
      <t>CH</t>
    </r>
    <r>
      <rPr>
        <vertAlign val="subscript"/>
        <sz val="14"/>
        <color theme="1"/>
        <rFont val="游ゴシック"/>
        <family val="3"/>
        <charset val="128"/>
        <scheme val="minor"/>
      </rPr>
      <t>2</t>
    </r>
    <phoneticPr fontId="2"/>
  </si>
  <si>
    <r>
      <t>7 x C</t>
    </r>
    <r>
      <rPr>
        <vertAlign val="subscript"/>
        <sz val="14"/>
        <color theme="1"/>
        <rFont val="游ゴシック"/>
        <family val="3"/>
        <charset val="128"/>
        <scheme val="minor"/>
      </rPr>
      <t>2</t>
    </r>
    <r>
      <rPr>
        <sz val="14"/>
        <color theme="1"/>
        <rFont val="游ゴシック"/>
        <family val="2"/>
        <charset val="128"/>
        <scheme val="minor"/>
      </rPr>
      <t>H</t>
    </r>
    <r>
      <rPr>
        <vertAlign val="subscript"/>
        <sz val="14"/>
        <color theme="1"/>
        <rFont val="游ゴシック"/>
        <family val="3"/>
        <charset val="128"/>
        <scheme val="minor"/>
      </rPr>
      <t>4</t>
    </r>
    <r>
      <rPr>
        <sz val="14"/>
        <color theme="1"/>
        <rFont val="游ゴシック"/>
        <family val="3"/>
        <charset val="128"/>
        <scheme val="minor"/>
      </rPr>
      <t xml:space="preserve"> + 6 x</t>
    </r>
    <r>
      <rPr>
        <vertAlign val="subscript"/>
        <sz val="14"/>
        <color theme="1"/>
        <rFont val="游ゴシック"/>
        <family val="3"/>
        <charset val="128"/>
        <scheme val="minor"/>
      </rPr>
      <t xml:space="preserve"> </t>
    </r>
    <r>
      <rPr>
        <sz val="14"/>
        <color theme="1"/>
        <rFont val="游ゴシック"/>
        <family val="3"/>
        <charset val="128"/>
        <scheme val="minor"/>
      </rPr>
      <t>CH</t>
    </r>
    <r>
      <rPr>
        <vertAlign val="subscript"/>
        <sz val="14"/>
        <color theme="1"/>
        <rFont val="游ゴシック"/>
        <family val="3"/>
        <charset val="128"/>
        <scheme val="minor"/>
      </rPr>
      <t>2</t>
    </r>
    <phoneticPr fontId="2"/>
  </si>
  <si>
    <r>
      <t>6 x C</t>
    </r>
    <r>
      <rPr>
        <vertAlign val="subscript"/>
        <sz val="14"/>
        <color theme="1"/>
        <rFont val="游ゴシック"/>
        <family val="3"/>
        <charset val="128"/>
        <scheme val="minor"/>
      </rPr>
      <t>2</t>
    </r>
    <r>
      <rPr>
        <sz val="14"/>
        <color theme="1"/>
        <rFont val="游ゴシック"/>
        <family val="2"/>
        <charset val="128"/>
        <scheme val="minor"/>
      </rPr>
      <t>H</t>
    </r>
    <r>
      <rPr>
        <vertAlign val="subscript"/>
        <sz val="14"/>
        <color theme="1"/>
        <rFont val="游ゴシック"/>
        <family val="3"/>
        <charset val="128"/>
        <scheme val="minor"/>
      </rPr>
      <t>4</t>
    </r>
    <r>
      <rPr>
        <sz val="14"/>
        <color theme="1"/>
        <rFont val="游ゴシック"/>
        <family val="3"/>
        <charset val="128"/>
        <scheme val="minor"/>
      </rPr>
      <t xml:space="preserve"> + 8 x</t>
    </r>
    <r>
      <rPr>
        <vertAlign val="subscript"/>
        <sz val="14"/>
        <color theme="1"/>
        <rFont val="游ゴシック"/>
        <family val="3"/>
        <charset val="128"/>
        <scheme val="minor"/>
      </rPr>
      <t xml:space="preserve"> </t>
    </r>
    <r>
      <rPr>
        <sz val="14"/>
        <color theme="1"/>
        <rFont val="游ゴシック"/>
        <family val="3"/>
        <charset val="128"/>
        <scheme val="minor"/>
      </rPr>
      <t>CH</t>
    </r>
    <r>
      <rPr>
        <vertAlign val="subscript"/>
        <sz val="14"/>
        <color theme="1"/>
        <rFont val="游ゴシック"/>
        <family val="3"/>
        <charset val="128"/>
        <scheme val="minor"/>
      </rPr>
      <t>2</t>
    </r>
    <phoneticPr fontId="2"/>
  </si>
  <si>
    <r>
      <t>C</t>
    </r>
    <r>
      <rPr>
        <vertAlign val="subscript"/>
        <sz val="14"/>
        <color theme="1"/>
        <rFont val="游ゴシック"/>
        <family val="3"/>
        <charset val="128"/>
        <scheme val="minor"/>
      </rPr>
      <t>2</t>
    </r>
    <r>
      <rPr>
        <sz val="14"/>
        <color theme="1"/>
        <rFont val="游ゴシック"/>
        <family val="2"/>
        <charset val="128"/>
        <scheme val="minor"/>
      </rPr>
      <t>H</t>
    </r>
    <r>
      <rPr>
        <vertAlign val="subscript"/>
        <sz val="14"/>
        <color theme="1"/>
        <rFont val="游ゴシック"/>
        <family val="3"/>
        <charset val="128"/>
        <scheme val="minor"/>
      </rPr>
      <t>4</t>
    </r>
    <r>
      <rPr>
        <sz val="14"/>
        <color theme="1"/>
        <rFont val="游ゴシック"/>
        <family val="2"/>
        <charset val="128"/>
        <scheme val="minor"/>
      </rPr>
      <t xml:space="preserve"> + H</t>
    </r>
    <phoneticPr fontId="2"/>
  </si>
  <si>
    <r>
      <t>5 x C</t>
    </r>
    <r>
      <rPr>
        <vertAlign val="subscript"/>
        <sz val="14"/>
        <color theme="1"/>
        <rFont val="游ゴシック"/>
        <family val="3"/>
        <charset val="128"/>
        <scheme val="minor"/>
      </rPr>
      <t>2</t>
    </r>
    <r>
      <rPr>
        <sz val="14"/>
        <color theme="1"/>
        <rFont val="游ゴシック"/>
        <family val="2"/>
        <charset val="128"/>
        <scheme val="minor"/>
      </rPr>
      <t>H</t>
    </r>
    <r>
      <rPr>
        <vertAlign val="subscript"/>
        <sz val="14"/>
        <color theme="1"/>
        <rFont val="游ゴシック"/>
        <family val="3"/>
        <charset val="128"/>
        <scheme val="minor"/>
      </rPr>
      <t>4</t>
    </r>
    <r>
      <rPr>
        <sz val="14"/>
        <color theme="1"/>
        <rFont val="游ゴシック"/>
        <family val="3"/>
        <charset val="128"/>
        <scheme val="minor"/>
      </rPr>
      <t xml:space="preserve"> + 10 x</t>
    </r>
    <r>
      <rPr>
        <vertAlign val="subscript"/>
        <sz val="14"/>
        <color theme="1"/>
        <rFont val="游ゴシック"/>
        <family val="3"/>
        <charset val="128"/>
        <scheme val="minor"/>
      </rPr>
      <t xml:space="preserve"> </t>
    </r>
    <r>
      <rPr>
        <sz val="14"/>
        <color theme="1"/>
        <rFont val="游ゴシック"/>
        <family val="3"/>
        <charset val="128"/>
        <scheme val="minor"/>
      </rPr>
      <t>CH</t>
    </r>
    <r>
      <rPr>
        <vertAlign val="subscript"/>
        <sz val="14"/>
        <color theme="1"/>
        <rFont val="游ゴシック"/>
        <family val="3"/>
        <charset val="128"/>
        <scheme val="minor"/>
      </rPr>
      <t>2</t>
    </r>
    <phoneticPr fontId="2"/>
  </si>
  <si>
    <r>
      <t>4 x C</t>
    </r>
    <r>
      <rPr>
        <vertAlign val="subscript"/>
        <sz val="14"/>
        <color theme="1"/>
        <rFont val="游ゴシック"/>
        <family val="3"/>
        <charset val="128"/>
        <scheme val="minor"/>
      </rPr>
      <t>2</t>
    </r>
    <r>
      <rPr>
        <sz val="14"/>
        <color theme="1"/>
        <rFont val="游ゴシック"/>
        <family val="2"/>
        <charset val="128"/>
        <scheme val="minor"/>
      </rPr>
      <t>H</t>
    </r>
    <r>
      <rPr>
        <vertAlign val="subscript"/>
        <sz val="14"/>
        <color theme="1"/>
        <rFont val="游ゴシック"/>
        <family val="3"/>
        <charset val="128"/>
        <scheme val="minor"/>
      </rPr>
      <t>4</t>
    </r>
    <r>
      <rPr>
        <sz val="14"/>
        <color theme="1"/>
        <rFont val="游ゴシック"/>
        <family val="3"/>
        <charset val="128"/>
        <scheme val="minor"/>
      </rPr>
      <t xml:space="preserve"> + 12</t>
    </r>
    <r>
      <rPr>
        <vertAlign val="subscript"/>
        <sz val="14"/>
        <color theme="1"/>
        <rFont val="游ゴシック"/>
        <family val="3"/>
        <charset val="128"/>
        <scheme val="minor"/>
      </rPr>
      <t xml:space="preserve"> </t>
    </r>
    <r>
      <rPr>
        <sz val="14"/>
        <color theme="1"/>
        <rFont val="游ゴシック"/>
        <family val="3"/>
        <charset val="128"/>
        <scheme val="minor"/>
      </rPr>
      <t>x</t>
    </r>
    <r>
      <rPr>
        <vertAlign val="subscript"/>
        <sz val="14"/>
        <color theme="1"/>
        <rFont val="游ゴシック"/>
        <family val="3"/>
        <charset val="128"/>
        <scheme val="minor"/>
      </rPr>
      <t xml:space="preserve"> </t>
    </r>
    <r>
      <rPr>
        <sz val="14"/>
        <color theme="1"/>
        <rFont val="游ゴシック"/>
        <family val="3"/>
        <charset val="128"/>
        <scheme val="minor"/>
      </rPr>
      <t>CH</t>
    </r>
    <r>
      <rPr>
        <vertAlign val="subscript"/>
        <sz val="14"/>
        <color theme="1"/>
        <rFont val="游ゴシック"/>
        <family val="3"/>
        <charset val="128"/>
        <scheme val="minor"/>
      </rPr>
      <t>2</t>
    </r>
    <phoneticPr fontId="2"/>
  </si>
  <si>
    <r>
      <t>O</t>
    </r>
    <r>
      <rPr>
        <vertAlign val="subscript"/>
        <sz val="14"/>
        <color theme="1"/>
        <rFont val="游ゴシック"/>
        <family val="3"/>
        <charset val="128"/>
        <scheme val="minor"/>
      </rPr>
      <t>2</t>
    </r>
    <r>
      <rPr>
        <sz val="14"/>
        <color theme="1"/>
        <rFont val="游ゴシック"/>
        <family val="2"/>
        <charset val="128"/>
        <scheme val="minor"/>
      </rPr>
      <t>Cl</t>
    </r>
    <r>
      <rPr>
        <vertAlign val="subscript"/>
        <sz val="14"/>
        <color theme="1"/>
        <rFont val="游ゴシック"/>
        <family val="3"/>
        <charset val="128"/>
        <scheme val="minor"/>
      </rPr>
      <t>4</t>
    </r>
    <phoneticPr fontId="2"/>
  </si>
  <si>
    <r>
      <t>5 x C</t>
    </r>
    <r>
      <rPr>
        <vertAlign val="subscript"/>
        <sz val="14"/>
        <color theme="1"/>
        <rFont val="游ゴシック"/>
        <family val="3"/>
        <charset val="128"/>
        <scheme val="minor"/>
      </rPr>
      <t>2</t>
    </r>
    <r>
      <rPr>
        <sz val="14"/>
        <color theme="1"/>
        <rFont val="游ゴシック"/>
        <family val="2"/>
        <charset val="128"/>
        <scheme val="minor"/>
      </rPr>
      <t>H</t>
    </r>
    <r>
      <rPr>
        <vertAlign val="subscript"/>
        <sz val="14"/>
        <color theme="1"/>
        <rFont val="游ゴシック"/>
        <family val="3"/>
        <charset val="128"/>
        <scheme val="minor"/>
      </rPr>
      <t>4</t>
    </r>
    <r>
      <rPr>
        <sz val="14"/>
        <color theme="1"/>
        <rFont val="游ゴシック"/>
        <family val="3"/>
        <charset val="128"/>
        <scheme val="minor"/>
      </rPr>
      <t xml:space="preserve"> + 4 x</t>
    </r>
    <r>
      <rPr>
        <vertAlign val="subscript"/>
        <sz val="14"/>
        <color theme="1"/>
        <rFont val="游ゴシック"/>
        <family val="3"/>
        <charset val="128"/>
        <scheme val="minor"/>
      </rPr>
      <t xml:space="preserve"> </t>
    </r>
    <r>
      <rPr>
        <sz val="14"/>
        <color theme="1"/>
        <rFont val="游ゴシック"/>
        <family val="3"/>
        <charset val="128"/>
        <scheme val="minor"/>
      </rPr>
      <t>H</t>
    </r>
    <phoneticPr fontId="2"/>
  </si>
  <si>
    <t>元素表</t>
  </si>
  <si>
    <t>FlipFlop</t>
  </si>
  <si>
    <t>ClH</t>
    <phoneticPr fontId="2"/>
  </si>
  <si>
    <t>ClK</t>
    <phoneticPr fontId="2"/>
  </si>
  <si>
    <r>
      <t>Cl</t>
    </r>
    <r>
      <rPr>
        <vertAlign val="subscript"/>
        <sz val="14"/>
        <color theme="1"/>
        <rFont val="游ゴシック"/>
        <family val="3"/>
        <charset val="128"/>
        <scheme val="minor"/>
      </rPr>
      <t>2</t>
    </r>
    <r>
      <rPr>
        <sz val="14"/>
        <color theme="1"/>
        <rFont val="游ゴシック"/>
        <family val="2"/>
        <charset val="128"/>
        <scheme val="minor"/>
      </rPr>
      <t>KH</t>
    </r>
    <phoneticPr fontId="2"/>
  </si>
  <si>
    <t>K(19)</t>
    <phoneticPr fontId="2"/>
  </si>
  <si>
    <t>Ne(10)</t>
    <phoneticPr fontId="2"/>
  </si>
  <si>
    <t>F(9)</t>
    <phoneticPr fontId="2"/>
  </si>
  <si>
    <t>H(1)</t>
    <phoneticPr fontId="2"/>
  </si>
  <si>
    <t>Fission(Split)</t>
    <phoneticPr fontId="2"/>
  </si>
  <si>
    <t>Fusion(Fuse)</t>
    <phoneticPr fontId="2"/>
  </si>
  <si>
    <t>Cl(17)</t>
    <phoneticPr fontId="2"/>
  </si>
  <si>
    <r>
      <t>NH</t>
    </r>
    <r>
      <rPr>
        <vertAlign val="subscript"/>
        <sz val="14"/>
        <color theme="1"/>
        <rFont val="游ゴシック"/>
        <family val="3"/>
        <charset val="128"/>
        <scheme val="minor"/>
      </rPr>
      <t>4</t>
    </r>
    <phoneticPr fontId="2"/>
  </si>
  <si>
    <r>
      <t>PtCl</t>
    </r>
    <r>
      <rPr>
        <vertAlign val="subscript"/>
        <sz val="14"/>
        <color theme="1"/>
        <rFont val="游ゴシック"/>
        <family val="3"/>
        <charset val="128"/>
        <scheme val="minor"/>
      </rPr>
      <t>2</t>
    </r>
    <r>
      <rPr>
        <sz val="14"/>
        <color theme="1"/>
        <rFont val="游ゴシック"/>
        <family val="3"/>
        <charset val="128"/>
        <scheme val="minor"/>
      </rPr>
      <t>(NH</t>
    </r>
    <r>
      <rPr>
        <vertAlign val="subscript"/>
        <sz val="14"/>
        <color theme="1"/>
        <rFont val="游ゴシック"/>
        <family val="3"/>
        <charset val="128"/>
        <scheme val="minor"/>
      </rPr>
      <t>3</t>
    </r>
    <r>
      <rPr>
        <sz val="14"/>
        <color theme="1"/>
        <rFont val="游ゴシック"/>
        <family val="3"/>
        <charset val="128"/>
        <scheme val="minor"/>
      </rPr>
      <t>)</t>
    </r>
    <r>
      <rPr>
        <vertAlign val="subscript"/>
        <sz val="14"/>
        <color theme="1"/>
        <rFont val="游ゴシック"/>
        <family val="3"/>
        <charset val="128"/>
        <scheme val="minor"/>
      </rPr>
      <t>2</t>
    </r>
    <phoneticPr fontId="2"/>
  </si>
  <si>
    <t>Au(79)</t>
    <phoneticPr fontId="2"/>
  </si>
  <si>
    <t>Be(4)</t>
    <phoneticPr fontId="2"/>
  </si>
  <si>
    <t>out</t>
    <phoneticPr fontId="2"/>
  </si>
  <si>
    <t>Fission 105(Bh)</t>
    <phoneticPr fontId="2"/>
  </si>
  <si>
    <r>
      <rPr>
        <sz val="14"/>
        <color theme="1"/>
        <rFont val="Microsoft YaHei"/>
        <family val="2"/>
        <charset val="134"/>
      </rPr>
      <t>3</t>
    </r>
    <r>
      <rPr>
        <sz val="14"/>
        <color theme="1"/>
        <rFont val="游ゴシック"/>
        <family val="2"/>
        <charset val="128"/>
        <scheme val="minor"/>
      </rPr>
      <t xml:space="preserve"> x Bond+</t>
    </r>
    <phoneticPr fontId="2"/>
  </si>
  <si>
    <r>
      <rPr>
        <sz val="14"/>
        <color theme="1"/>
        <rFont val="Microsoft YaHei"/>
        <family val="2"/>
        <charset val="134"/>
      </rPr>
      <t>2</t>
    </r>
    <r>
      <rPr>
        <sz val="14"/>
        <color theme="1"/>
        <rFont val="游ゴシック"/>
        <family val="2"/>
        <charset val="128"/>
        <scheme val="minor"/>
      </rPr>
      <t xml:space="preserve"> x Bond-</t>
    </r>
    <phoneticPr fontId="2"/>
  </si>
  <si>
    <r>
      <rPr>
        <sz val="14"/>
        <color theme="1"/>
        <rFont val="Microsoft YaHei"/>
        <family val="2"/>
        <charset val="134"/>
      </rPr>
      <t>1</t>
    </r>
    <r>
      <rPr>
        <sz val="14"/>
        <color theme="1"/>
        <rFont val="游ゴシック"/>
        <family val="2"/>
        <charset val="128"/>
        <scheme val="minor"/>
      </rPr>
      <t xml:space="preserve"> x Move Left</t>
    </r>
    <phoneticPr fontId="2"/>
  </si>
  <si>
    <t>Out</t>
    <phoneticPr fontId="2"/>
  </si>
  <si>
    <r>
      <rPr>
        <sz val="14"/>
        <color theme="1"/>
        <rFont val="Microsoft YaHei"/>
        <family val="2"/>
        <charset val="134"/>
      </rPr>
      <t xml:space="preserve">1 </t>
    </r>
    <r>
      <rPr>
        <sz val="14"/>
        <color theme="1"/>
        <rFont val="游ゴシック"/>
        <family val="2"/>
        <charset val="128"/>
      </rPr>
      <t>x Bond-</t>
    </r>
    <phoneticPr fontId="2"/>
  </si>
  <si>
    <t>3 x Move Left</t>
    <phoneticPr fontId="2"/>
  </si>
  <si>
    <t>1 x move right</t>
    <phoneticPr fontId="2"/>
  </si>
  <si>
    <t>1 x Bond+</t>
    <phoneticPr fontId="2"/>
  </si>
  <si>
    <r>
      <rPr>
        <b/>
        <sz val="14"/>
        <color theme="1"/>
        <rFont val="Microsoft YaHei"/>
        <family val="3"/>
        <charset val="134"/>
      </rPr>
      <t xml:space="preserve">氢
</t>
    </r>
    <r>
      <rPr>
        <b/>
        <sz val="14"/>
        <color theme="1"/>
        <rFont val="游ゴシック"/>
        <family val="3"/>
        <charset val="128"/>
        <scheme val="minor"/>
      </rPr>
      <t>水素</t>
    </r>
    <phoneticPr fontId="2"/>
  </si>
  <si>
    <t>氦
ヘリウム</t>
    <phoneticPr fontId="2"/>
  </si>
  <si>
    <r>
      <rPr>
        <b/>
        <sz val="14"/>
        <color theme="1"/>
        <rFont val="Microsoft YaHei"/>
        <family val="3"/>
        <charset val="134"/>
      </rPr>
      <t xml:space="preserve">锂
</t>
    </r>
    <r>
      <rPr>
        <b/>
        <sz val="14"/>
        <color theme="1"/>
        <rFont val="游ゴシック"/>
        <family val="3"/>
        <charset val="128"/>
        <scheme val="minor"/>
      </rPr>
      <t>リチウム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</si>
  <si>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铍
</t>
    </r>
    <r>
      <rPr>
        <b/>
        <sz val="14"/>
        <color theme="1"/>
        <rFont val="游ゴシック"/>
        <family val="3"/>
        <charset val="128"/>
        <scheme val="minor"/>
      </rPr>
      <t>ベリリウム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</si>
  <si>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钠
</t>
    </r>
    <r>
      <rPr>
        <b/>
        <sz val="14"/>
        <color theme="1"/>
        <rFont val="游ゴシック"/>
        <family val="3"/>
        <charset val="128"/>
        <scheme val="minor"/>
      </rPr>
      <t>ナトリウム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</si>
  <si>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镁
</t>
    </r>
    <r>
      <rPr>
        <b/>
        <sz val="14"/>
        <color theme="1"/>
        <rFont val="游ゴシック"/>
        <family val="3"/>
        <charset val="128"/>
        <scheme val="minor"/>
      </rPr>
      <t>マグネシウム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</si>
  <si>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钾
</t>
    </r>
    <r>
      <rPr>
        <b/>
        <sz val="14"/>
        <color theme="1"/>
        <rFont val="游ゴシック"/>
        <family val="3"/>
        <charset val="128"/>
        <scheme val="minor"/>
      </rPr>
      <t>カリウム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</si>
  <si>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钙
</t>
    </r>
    <r>
      <rPr>
        <b/>
        <sz val="14"/>
        <color theme="1"/>
        <rFont val="游ゴシック"/>
        <family val="3"/>
        <charset val="128"/>
        <scheme val="minor"/>
      </rPr>
      <t>カルシウム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</si>
  <si>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铷
</t>
    </r>
    <r>
      <rPr>
        <b/>
        <sz val="14"/>
        <color theme="1"/>
        <rFont val="游ゴシック"/>
        <family val="3"/>
        <charset val="128"/>
        <scheme val="minor"/>
      </rPr>
      <t>ルビジウム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</si>
  <si>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铯
</t>
    </r>
    <r>
      <rPr>
        <b/>
        <sz val="14"/>
        <color theme="1"/>
        <rFont val="游ゴシック"/>
        <family val="3"/>
        <charset val="128"/>
        <scheme val="minor"/>
      </rPr>
      <t>セシウム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</si>
  <si>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钫
</t>
    </r>
    <r>
      <rPr>
        <b/>
        <sz val="14"/>
        <color theme="1"/>
        <rFont val="游ゴシック"/>
        <family val="3"/>
        <charset val="128"/>
        <scheme val="minor"/>
      </rPr>
      <t>フランシウ</t>
    </r>
    <phoneticPr fontId="2"/>
  </si>
  <si>
    <r>
      <rPr>
        <b/>
        <sz val="14"/>
        <color theme="1"/>
        <rFont val="Microsoft YaHei"/>
        <family val="3"/>
        <charset val="134"/>
      </rPr>
      <t xml:space="preserve">锶
</t>
    </r>
    <r>
      <rPr>
        <b/>
        <sz val="14"/>
        <color theme="1"/>
        <rFont val="游ゴシック"/>
        <family val="3"/>
        <charset val="128"/>
        <scheme val="minor"/>
      </rPr>
      <t>ストロンチウ</t>
    </r>
    <phoneticPr fontId="2"/>
  </si>
  <si>
    <r>
      <rPr>
        <b/>
        <sz val="14"/>
        <color theme="1"/>
        <rFont val="Microsoft YaHei"/>
        <family val="3"/>
        <charset val="134"/>
      </rPr>
      <t xml:space="preserve">钡
</t>
    </r>
    <r>
      <rPr>
        <b/>
        <sz val="14"/>
        <color theme="1"/>
        <rFont val="游ゴシック"/>
        <family val="3"/>
        <charset val="128"/>
        <scheme val="minor"/>
      </rPr>
      <t>バリウム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</si>
  <si>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镭
</t>
    </r>
    <r>
      <rPr>
        <b/>
        <sz val="14"/>
        <color theme="1"/>
        <rFont val="游ゴシック"/>
        <family val="3"/>
        <charset val="128"/>
        <scheme val="minor"/>
      </rPr>
      <t>ラジウム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</si>
  <si>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钪
</t>
    </r>
    <r>
      <rPr>
        <b/>
        <sz val="14"/>
        <color theme="1"/>
        <rFont val="游ゴシック"/>
        <family val="3"/>
        <charset val="128"/>
        <scheme val="minor"/>
      </rPr>
      <t>スカンジウム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</si>
  <si>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钇
</t>
    </r>
    <r>
      <rPr>
        <b/>
        <sz val="14"/>
        <color theme="1"/>
        <rFont val="游ゴシック"/>
        <family val="3"/>
        <charset val="128"/>
        <scheme val="minor"/>
      </rPr>
      <t>イットリウム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</si>
  <si>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镥
</t>
    </r>
    <r>
      <rPr>
        <b/>
        <sz val="14"/>
        <color theme="1"/>
        <rFont val="游ゴシック"/>
        <family val="3"/>
        <charset val="128"/>
        <scheme val="minor"/>
      </rPr>
      <t>ルテチウム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</si>
  <si>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铹
</t>
    </r>
    <r>
      <rPr>
        <b/>
        <sz val="14"/>
        <color theme="1"/>
        <rFont val="游ゴシック"/>
        <family val="3"/>
        <charset val="128"/>
        <scheme val="minor"/>
      </rPr>
      <t>ローレンシウム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</si>
  <si>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钛
</t>
    </r>
    <r>
      <rPr>
        <b/>
        <sz val="14"/>
        <color theme="1"/>
        <rFont val="游ゴシック"/>
        <family val="3"/>
        <charset val="128"/>
        <scheme val="minor"/>
      </rPr>
      <t>チタン</t>
    </r>
    <phoneticPr fontId="2"/>
  </si>
  <si>
    <r>
      <rPr>
        <b/>
        <sz val="14"/>
        <color theme="1"/>
        <rFont val="Microsoft YaHei"/>
        <family val="3"/>
        <charset val="134"/>
      </rPr>
      <t xml:space="preserve">钒
</t>
    </r>
    <r>
      <rPr>
        <b/>
        <sz val="14"/>
        <color theme="1"/>
        <rFont val="游ゴシック"/>
        <family val="3"/>
        <charset val="128"/>
        <scheme val="minor"/>
      </rPr>
      <t>バナジウム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</si>
  <si>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铌
</t>
    </r>
    <r>
      <rPr>
        <b/>
        <sz val="14"/>
        <color theme="1"/>
        <rFont val="游ゴシック"/>
        <family val="3"/>
        <charset val="128"/>
        <scheme val="minor"/>
      </rPr>
      <t>ニオブ</t>
    </r>
    <phoneticPr fontId="2"/>
  </si>
  <si>
    <r>
      <rPr>
        <b/>
        <sz val="14"/>
        <color theme="1"/>
        <rFont val="Microsoft YaHei"/>
        <family val="3"/>
        <charset val="134"/>
      </rPr>
      <t xml:space="preserve">锆
</t>
    </r>
    <r>
      <rPr>
        <b/>
        <sz val="14"/>
        <color theme="1"/>
        <rFont val="游ゴシック"/>
        <family val="3"/>
        <charset val="128"/>
        <scheme val="minor"/>
      </rPr>
      <t>ジルコニウ</t>
    </r>
    <phoneticPr fontId="2"/>
  </si>
  <si>
    <r>
      <rPr>
        <b/>
        <sz val="14"/>
        <color theme="1"/>
        <rFont val="Microsoft YaHei"/>
        <family val="3"/>
        <charset val="134"/>
      </rPr>
      <t xml:space="preserve">铪
</t>
    </r>
    <r>
      <rPr>
        <b/>
        <sz val="14"/>
        <color theme="1"/>
        <rFont val="游ゴシック"/>
        <family val="3"/>
        <charset val="128"/>
        <scheme val="minor"/>
      </rPr>
      <t>ハフニウム</t>
    </r>
    <phoneticPr fontId="2"/>
  </si>
  <si>
    <r>
      <rPr>
        <b/>
        <sz val="14"/>
        <color theme="1"/>
        <rFont val="Microsoft YaHei UI"/>
        <family val="3"/>
        <charset val="134"/>
      </rPr>
      <t xml:space="preserve">𬬻
</t>
    </r>
    <r>
      <rPr>
        <b/>
        <sz val="14"/>
        <color theme="1"/>
        <rFont val="游ゴシック"/>
        <family val="3"/>
        <charset val="128"/>
        <scheme val="minor"/>
      </rPr>
      <t>ラザホージウム</t>
    </r>
    <phoneticPr fontId="2"/>
  </si>
  <si>
    <r>
      <rPr>
        <b/>
        <sz val="14"/>
        <color theme="1"/>
        <rFont val="Microsoft YaHei UI"/>
        <family val="3"/>
        <charset val="134"/>
      </rPr>
      <t xml:space="preserve">𬭊
</t>
    </r>
    <r>
      <rPr>
        <b/>
        <sz val="14"/>
        <color theme="1"/>
        <rFont val="游ゴシック"/>
        <family val="3"/>
        <charset val="128"/>
        <scheme val="minor"/>
      </rPr>
      <t>ドブニウム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</si>
  <si>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钽
</t>
    </r>
    <r>
      <rPr>
        <b/>
        <sz val="14"/>
        <color theme="1"/>
        <rFont val="游ゴシック"/>
        <family val="3"/>
        <charset val="128"/>
        <scheme val="minor"/>
      </rPr>
      <t>タンタル</t>
    </r>
    <phoneticPr fontId="2"/>
  </si>
  <si>
    <r>
      <rPr>
        <b/>
        <sz val="14"/>
        <color theme="1"/>
        <rFont val="Microsoft YaHei"/>
        <family val="3"/>
        <charset val="134"/>
      </rPr>
      <t xml:space="preserve">铬
</t>
    </r>
    <r>
      <rPr>
        <b/>
        <sz val="14"/>
        <color theme="1"/>
        <rFont val="游ゴシック"/>
        <family val="3"/>
        <charset val="128"/>
        <scheme val="minor"/>
      </rPr>
      <t>クロム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</si>
  <si>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钼
</t>
    </r>
    <r>
      <rPr>
        <b/>
        <sz val="14"/>
        <color theme="1"/>
        <rFont val="游ゴシック"/>
        <family val="3"/>
        <charset val="128"/>
        <scheme val="minor"/>
      </rPr>
      <t>モリブデン</t>
    </r>
    <phoneticPr fontId="2"/>
  </si>
  <si>
    <r>
      <rPr>
        <b/>
        <sz val="14"/>
        <color theme="1"/>
        <rFont val="Microsoft YaHei"/>
        <family val="3"/>
        <charset val="134"/>
      </rPr>
      <t xml:space="preserve">钨
</t>
    </r>
    <r>
      <rPr>
        <b/>
        <sz val="14"/>
        <color theme="1"/>
        <rFont val="游ゴシック"/>
        <family val="3"/>
        <charset val="128"/>
        <scheme val="minor"/>
      </rPr>
      <t>タングステン</t>
    </r>
    <phoneticPr fontId="2"/>
  </si>
  <si>
    <r>
      <rPr>
        <b/>
        <sz val="14"/>
        <color theme="1"/>
        <rFont val="Microsoft YaHei UI"/>
        <family val="3"/>
        <charset val="134"/>
      </rPr>
      <t xml:space="preserve">𬭳
</t>
    </r>
    <r>
      <rPr>
        <b/>
        <sz val="14"/>
        <color theme="1"/>
        <rFont val="游ゴシック"/>
        <family val="3"/>
        <charset val="128"/>
        <scheme val="minor"/>
      </rPr>
      <t>シーボーギウム</t>
    </r>
    <phoneticPr fontId="2"/>
  </si>
  <si>
    <r>
      <rPr>
        <b/>
        <sz val="14"/>
        <color theme="1"/>
        <rFont val="Microsoft YaHei UI"/>
        <family val="3"/>
        <charset val="134"/>
      </rPr>
      <t xml:space="preserve">𬭛
</t>
    </r>
    <r>
      <rPr>
        <b/>
        <sz val="14"/>
        <color theme="1"/>
        <rFont val="游ゴシック"/>
        <family val="3"/>
        <charset val="128"/>
        <scheme val="minor"/>
      </rPr>
      <t>ボーリウム</t>
    </r>
    <phoneticPr fontId="2"/>
  </si>
  <si>
    <r>
      <rPr>
        <b/>
        <sz val="14"/>
        <color theme="1"/>
        <rFont val="Microsoft YaHei UI"/>
        <family val="3"/>
        <charset val="134"/>
      </rPr>
      <t xml:space="preserve">𬭶
</t>
    </r>
    <r>
      <rPr>
        <b/>
        <sz val="14"/>
        <color theme="1"/>
        <rFont val="游ゴシック"/>
        <family val="3"/>
        <charset val="128"/>
        <scheme val="minor"/>
      </rPr>
      <t>ハッシウム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</si>
  <si>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锇
</t>
    </r>
    <r>
      <rPr>
        <b/>
        <sz val="14"/>
        <color theme="1"/>
        <rFont val="游ゴシック"/>
        <family val="3"/>
        <charset val="128"/>
        <scheme val="minor"/>
      </rPr>
      <t>オスミウム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</si>
  <si>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钌
</t>
    </r>
    <r>
      <rPr>
        <b/>
        <sz val="14"/>
        <color theme="1"/>
        <rFont val="游ゴシック"/>
        <family val="3"/>
        <charset val="128"/>
        <scheme val="minor"/>
      </rPr>
      <t>ルテニウム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</si>
  <si>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铁
</t>
    </r>
    <r>
      <rPr>
        <b/>
        <sz val="14"/>
        <color theme="1"/>
        <rFont val="游ゴシック"/>
        <family val="3"/>
        <charset val="128"/>
        <scheme val="minor"/>
      </rPr>
      <t>鉄</t>
    </r>
    <phoneticPr fontId="2"/>
  </si>
  <si>
    <r>
      <rPr>
        <b/>
        <sz val="14"/>
        <color theme="1"/>
        <rFont val="Microsoft YaHei"/>
        <family val="3"/>
        <charset val="134"/>
      </rPr>
      <t xml:space="preserve">钴
</t>
    </r>
    <r>
      <rPr>
        <b/>
        <sz val="14"/>
        <color theme="1"/>
        <rFont val="游ゴシック"/>
        <family val="3"/>
        <charset val="128"/>
        <scheme val="minor"/>
      </rPr>
      <t>コバルト</t>
    </r>
    <phoneticPr fontId="2"/>
  </si>
  <si>
    <r>
      <rPr>
        <b/>
        <sz val="14"/>
        <color theme="1"/>
        <rFont val="Microsoft YaHei"/>
        <family val="3"/>
        <charset val="134"/>
      </rPr>
      <t xml:space="preserve">铑
</t>
    </r>
    <r>
      <rPr>
        <b/>
        <sz val="14"/>
        <color theme="1"/>
        <rFont val="游ゴシック"/>
        <family val="3"/>
        <charset val="128"/>
        <scheme val="minor"/>
      </rPr>
      <t>ロジウム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</si>
  <si>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铱
</t>
    </r>
    <r>
      <rPr>
        <b/>
        <sz val="14"/>
        <color theme="1"/>
        <rFont val="游ゴシック"/>
        <family val="3"/>
        <charset val="128"/>
        <scheme val="minor"/>
      </rPr>
      <t>イリジウム</t>
    </r>
    <phoneticPr fontId="2"/>
  </si>
  <si>
    <r>
      <rPr>
        <b/>
        <sz val="14"/>
        <color theme="1"/>
        <rFont val="Microsoft YaHei"/>
        <family val="2"/>
        <charset val="134"/>
      </rPr>
      <t xml:space="preserve">鿏
</t>
    </r>
    <r>
      <rPr>
        <b/>
        <sz val="14"/>
        <color theme="1"/>
        <rFont val="游ゴシック"/>
        <family val="3"/>
        <charset val="128"/>
        <scheme val="minor"/>
      </rPr>
      <t>マイトネリウム</t>
    </r>
    <phoneticPr fontId="2"/>
  </si>
  <si>
    <r>
      <rPr>
        <b/>
        <sz val="14"/>
        <color theme="1"/>
        <rFont val="Microsoft YaHei UI"/>
        <family val="3"/>
        <charset val="134"/>
      </rPr>
      <t xml:space="preserve">𫟼
</t>
    </r>
    <r>
      <rPr>
        <b/>
        <sz val="14"/>
        <color theme="1"/>
        <rFont val="游ゴシック"/>
        <family val="3"/>
        <charset val="128"/>
        <scheme val="minor"/>
      </rPr>
      <t>ダームスタチウム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</si>
  <si>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铂
</t>
    </r>
    <r>
      <rPr>
        <b/>
        <sz val="14"/>
        <color theme="1"/>
        <rFont val="游ゴシック"/>
        <family val="3"/>
        <charset val="128"/>
        <scheme val="minor"/>
      </rPr>
      <t>白金</t>
    </r>
    <phoneticPr fontId="2"/>
  </si>
  <si>
    <r>
      <rPr>
        <b/>
        <sz val="14"/>
        <color theme="1"/>
        <rFont val="Microsoft YaHei"/>
        <family val="3"/>
        <charset val="134"/>
      </rPr>
      <t xml:space="preserve">钯
</t>
    </r>
    <r>
      <rPr>
        <b/>
        <sz val="14"/>
        <color theme="1"/>
        <rFont val="游ゴシック"/>
        <family val="3"/>
        <charset val="128"/>
        <scheme val="minor"/>
      </rPr>
      <t>パラジウム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</si>
  <si>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镍
</t>
    </r>
    <r>
      <rPr>
        <b/>
        <sz val="14"/>
        <color theme="1"/>
        <rFont val="游ゴシック"/>
        <family val="3"/>
        <charset val="128"/>
        <scheme val="minor"/>
      </rPr>
      <t>ニッケル</t>
    </r>
    <phoneticPr fontId="2"/>
  </si>
  <si>
    <r>
      <rPr>
        <b/>
        <sz val="14"/>
        <color theme="1"/>
        <rFont val="Microsoft YaHei"/>
        <family val="3"/>
        <charset val="134"/>
      </rPr>
      <t xml:space="preserve">铜
</t>
    </r>
    <r>
      <rPr>
        <b/>
        <sz val="14"/>
        <color theme="1"/>
        <rFont val="游ゴシック"/>
        <family val="3"/>
        <charset val="128"/>
        <scheme val="minor"/>
      </rPr>
      <t>銅</t>
    </r>
    <phoneticPr fontId="2"/>
  </si>
  <si>
    <r>
      <rPr>
        <b/>
        <sz val="14"/>
        <color theme="1"/>
        <rFont val="Microsoft YaHei"/>
        <family val="3"/>
        <charset val="134"/>
      </rPr>
      <t xml:space="preserve">银
</t>
    </r>
    <r>
      <rPr>
        <b/>
        <sz val="14"/>
        <color theme="1"/>
        <rFont val="游ゴシック"/>
        <family val="3"/>
        <charset val="128"/>
        <scheme val="minor"/>
      </rPr>
      <t>銀</t>
    </r>
    <phoneticPr fontId="2"/>
  </si>
  <si>
    <t>金
金</t>
    <phoneticPr fontId="2"/>
  </si>
  <si>
    <r>
      <rPr>
        <b/>
        <sz val="14"/>
        <color theme="1"/>
        <rFont val="Microsoft YaHei UI"/>
        <family val="3"/>
        <charset val="134"/>
      </rPr>
      <t xml:space="preserve">𬬭
</t>
    </r>
    <r>
      <rPr>
        <b/>
        <sz val="14"/>
        <color theme="1"/>
        <rFont val="游ゴシック"/>
        <family val="3"/>
        <charset val="128"/>
        <scheme val="minor"/>
      </rPr>
      <t>レントゲニウム</t>
    </r>
    <phoneticPr fontId="2"/>
  </si>
  <si>
    <r>
      <rPr>
        <b/>
        <sz val="14"/>
        <color theme="1"/>
        <rFont val="Microsoft YaHei"/>
        <family val="2"/>
        <charset val="134"/>
      </rPr>
      <t xml:space="preserve">鿔
</t>
    </r>
    <r>
      <rPr>
        <b/>
        <sz val="14"/>
        <color theme="1"/>
        <rFont val="游ゴシック"/>
        <family val="3"/>
        <charset val="128"/>
        <scheme val="minor"/>
      </rPr>
      <t>コペルニシウム</t>
    </r>
    <phoneticPr fontId="2"/>
  </si>
  <si>
    <t>汞
水銀</t>
    <phoneticPr fontId="2"/>
  </si>
  <si>
    <r>
      <rPr>
        <b/>
        <sz val="14"/>
        <color theme="1"/>
        <rFont val="Microsoft YaHei"/>
        <family val="3"/>
        <charset val="134"/>
      </rPr>
      <t xml:space="preserve">镉
</t>
    </r>
    <r>
      <rPr>
        <b/>
        <sz val="14"/>
        <color theme="1"/>
        <rFont val="游ゴシック"/>
        <family val="3"/>
        <charset val="128"/>
        <scheme val="minor"/>
      </rPr>
      <t>カドミウム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</si>
  <si>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锌
</t>
    </r>
    <r>
      <rPr>
        <b/>
        <sz val="14"/>
        <color theme="1"/>
        <rFont val="游ゴシック"/>
        <family val="3"/>
        <charset val="128"/>
        <scheme val="minor"/>
      </rPr>
      <t>亜鉛</t>
    </r>
    <phoneticPr fontId="2"/>
  </si>
  <si>
    <t>硼
ホウ素</t>
    <phoneticPr fontId="2"/>
  </si>
  <si>
    <r>
      <rPr>
        <b/>
        <sz val="14"/>
        <color theme="1"/>
        <rFont val="Microsoft YaHei"/>
        <family val="3"/>
        <charset val="134"/>
      </rPr>
      <t xml:space="preserve">铝
</t>
    </r>
    <r>
      <rPr>
        <b/>
        <sz val="14"/>
        <color theme="1"/>
        <rFont val="游ゴシック"/>
        <family val="3"/>
        <charset val="128"/>
        <scheme val="minor"/>
      </rPr>
      <t>アルミニウム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</si>
  <si>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镓
</t>
    </r>
    <r>
      <rPr>
        <b/>
        <sz val="14"/>
        <color theme="1"/>
        <rFont val="游ゴシック"/>
        <family val="3"/>
        <charset val="128"/>
        <scheme val="minor"/>
      </rPr>
      <t>ガリウム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</si>
  <si>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铟
</t>
    </r>
    <r>
      <rPr>
        <b/>
        <sz val="14"/>
        <color theme="1"/>
        <rFont val="游ゴシック"/>
        <family val="3"/>
        <charset val="128"/>
        <scheme val="minor"/>
      </rPr>
      <t>インジウム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</si>
  <si>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铊
</t>
    </r>
    <r>
      <rPr>
        <b/>
        <sz val="14"/>
        <color theme="1"/>
        <rFont val="游ゴシック"/>
        <family val="3"/>
        <charset val="128"/>
        <scheme val="minor"/>
      </rPr>
      <t>タリウム</t>
    </r>
    <phoneticPr fontId="2"/>
  </si>
  <si>
    <t>碳
炭素</t>
    <phoneticPr fontId="2"/>
  </si>
  <si>
    <t>硅
ケイ素</t>
    <phoneticPr fontId="2"/>
  </si>
  <si>
    <r>
      <rPr>
        <b/>
        <sz val="14"/>
        <color theme="1"/>
        <rFont val="Microsoft YaHei"/>
        <family val="3"/>
        <charset val="134"/>
      </rPr>
      <t xml:space="preserve">锗
</t>
    </r>
    <r>
      <rPr>
        <b/>
        <sz val="14"/>
        <color theme="1"/>
        <rFont val="游ゴシック"/>
        <family val="3"/>
        <charset val="128"/>
        <scheme val="minor"/>
      </rPr>
      <t>ゲルマニウム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</si>
  <si>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锡
</t>
    </r>
    <r>
      <rPr>
        <b/>
        <sz val="14"/>
        <color theme="1"/>
        <rFont val="游ゴシック"/>
        <family val="3"/>
        <charset val="128"/>
        <scheme val="minor"/>
      </rPr>
      <t>錫</t>
    </r>
    <rPh sb="2" eb="3">
      <t>スズ</t>
    </rPh>
    <phoneticPr fontId="2"/>
  </si>
  <si>
    <r>
      <rPr>
        <b/>
        <sz val="14"/>
        <color theme="1"/>
        <rFont val="Microsoft YaHei"/>
        <family val="3"/>
        <charset val="134"/>
      </rPr>
      <t xml:space="preserve">铅
</t>
    </r>
    <r>
      <rPr>
        <b/>
        <sz val="14"/>
        <color theme="1"/>
        <rFont val="游ゴシック"/>
        <family val="3"/>
        <charset val="128"/>
        <scheme val="minor"/>
      </rPr>
      <t>鉛</t>
    </r>
    <phoneticPr fontId="2"/>
  </si>
  <si>
    <r>
      <rPr>
        <b/>
        <sz val="14"/>
        <color theme="1"/>
        <rFont val="Microsoft YaHei"/>
        <family val="3"/>
        <charset val="134"/>
      </rPr>
      <t xml:space="preserve">铋
</t>
    </r>
    <r>
      <rPr>
        <b/>
        <sz val="14"/>
        <color theme="1"/>
        <rFont val="游ゴシック"/>
        <family val="3"/>
        <charset val="128"/>
        <scheme val="minor"/>
      </rPr>
      <t>ビスマス</t>
    </r>
    <phoneticPr fontId="2"/>
  </si>
  <si>
    <r>
      <rPr>
        <b/>
        <sz val="14"/>
        <color theme="1"/>
        <rFont val="Microsoft YaHei"/>
        <family val="3"/>
        <charset val="134"/>
      </rPr>
      <t xml:space="preserve">锑
</t>
    </r>
    <r>
      <rPr>
        <b/>
        <sz val="14"/>
        <color theme="1"/>
        <rFont val="游ゴシック"/>
        <family val="3"/>
        <charset val="128"/>
        <scheme val="minor"/>
      </rPr>
      <t>アンチモン</t>
    </r>
    <phoneticPr fontId="2"/>
  </si>
  <si>
    <t>砷
ヒ素</t>
    <phoneticPr fontId="2"/>
  </si>
  <si>
    <t>磷
リン</t>
    <phoneticPr fontId="2"/>
  </si>
  <si>
    <t>氮
窒素</t>
    <phoneticPr fontId="2"/>
  </si>
  <si>
    <t>氧
酸素</t>
    <phoneticPr fontId="2"/>
  </si>
  <si>
    <t>硫
硫黄</t>
    <phoneticPr fontId="2"/>
  </si>
  <si>
    <t>硒
セレン</t>
    <phoneticPr fontId="2"/>
  </si>
  <si>
    <t>碲
テルル</t>
    <phoneticPr fontId="2"/>
  </si>
  <si>
    <r>
      <rPr>
        <b/>
        <sz val="14"/>
        <color theme="1"/>
        <rFont val="Microsoft YaHei"/>
        <family val="3"/>
        <charset val="134"/>
      </rPr>
      <t xml:space="preserve">钋
</t>
    </r>
    <r>
      <rPr>
        <b/>
        <sz val="14"/>
        <color theme="1"/>
        <rFont val="游ゴシック"/>
        <family val="3"/>
        <charset val="128"/>
        <scheme val="minor"/>
      </rPr>
      <t>ポロニウム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</si>
  <si>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砹
</t>
    </r>
    <r>
      <rPr>
        <b/>
        <sz val="14"/>
        <color theme="1"/>
        <rFont val="游ゴシック"/>
        <family val="3"/>
        <charset val="128"/>
        <scheme val="minor"/>
      </rPr>
      <t>アスタチン</t>
    </r>
    <phoneticPr fontId="2"/>
  </si>
  <si>
    <t>碘
ヨウ素</t>
    <phoneticPr fontId="2"/>
  </si>
  <si>
    <t>溴
臭素</t>
    <phoneticPr fontId="2"/>
  </si>
  <si>
    <r>
      <rPr>
        <b/>
        <sz val="14"/>
        <color theme="1"/>
        <rFont val="Microsoft JhengHei"/>
        <family val="3"/>
        <charset val="136"/>
      </rPr>
      <t xml:space="preserve">氯
</t>
    </r>
    <r>
      <rPr>
        <b/>
        <sz val="14"/>
        <color theme="1"/>
        <rFont val="游ゴシック"/>
        <family val="3"/>
        <charset val="128"/>
        <scheme val="minor"/>
      </rPr>
      <t>塩素</t>
    </r>
    <phoneticPr fontId="2"/>
  </si>
  <si>
    <t>氟
フッ素</t>
    <phoneticPr fontId="2"/>
  </si>
  <si>
    <r>
      <rPr>
        <b/>
        <sz val="14"/>
        <color theme="1"/>
        <rFont val="Microsoft JhengHei"/>
        <family val="3"/>
        <charset val="136"/>
      </rPr>
      <t xml:space="preserve">氖
</t>
    </r>
    <r>
      <rPr>
        <b/>
        <sz val="14"/>
        <color theme="1"/>
        <rFont val="游ゴシック"/>
        <family val="3"/>
        <charset val="128"/>
        <scheme val="minor"/>
      </rPr>
      <t>ネオン</t>
    </r>
    <phoneticPr fontId="2"/>
  </si>
  <si>
    <r>
      <rPr>
        <b/>
        <sz val="14"/>
        <color theme="1"/>
        <rFont val="Microsoft YaHei"/>
        <family val="3"/>
        <charset val="134"/>
      </rPr>
      <t xml:space="preserve">氩
</t>
    </r>
    <r>
      <rPr>
        <b/>
        <sz val="14"/>
        <color theme="1"/>
        <rFont val="游ゴシック"/>
        <family val="3"/>
        <charset val="128"/>
        <scheme val="minor"/>
      </rPr>
      <t>アルゴン</t>
    </r>
    <phoneticPr fontId="2"/>
  </si>
  <si>
    <r>
      <rPr>
        <b/>
        <sz val="14"/>
        <color theme="1"/>
        <rFont val="Microsoft JhengHei"/>
        <family val="3"/>
        <charset val="136"/>
      </rPr>
      <t xml:space="preserve">氪
</t>
    </r>
    <r>
      <rPr>
        <b/>
        <sz val="14"/>
        <color theme="1"/>
        <rFont val="游ゴシック"/>
        <family val="3"/>
        <charset val="128"/>
        <scheme val="minor"/>
      </rPr>
      <t>クリプトン</t>
    </r>
    <phoneticPr fontId="2"/>
  </si>
  <si>
    <r>
      <rPr>
        <b/>
        <sz val="14"/>
        <color theme="1"/>
        <rFont val="Microsoft JhengHei"/>
        <family val="3"/>
        <charset val="136"/>
      </rPr>
      <t xml:space="preserve">氡
</t>
    </r>
    <r>
      <rPr>
        <b/>
        <sz val="14"/>
        <color theme="1"/>
        <rFont val="游ゴシック"/>
        <family val="3"/>
        <charset val="128"/>
        <scheme val="minor"/>
      </rPr>
      <t>ラドン</t>
    </r>
    <phoneticPr fontId="2"/>
  </si>
  <si>
    <t>氙
キセノン</t>
    <phoneticPr fontId="2"/>
  </si>
  <si>
    <r>
      <rPr>
        <b/>
        <sz val="14"/>
        <color theme="1"/>
        <rFont val="Microsoft YaHei"/>
        <family val="3"/>
        <charset val="134"/>
      </rPr>
      <t xml:space="preserve">镱
</t>
    </r>
    <r>
      <rPr>
        <b/>
        <sz val="14"/>
        <color theme="1"/>
        <rFont val="游ゴシック"/>
        <family val="3"/>
        <charset val="128"/>
        <scheme val="minor"/>
      </rPr>
      <t>イッテルビウム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</si>
  <si>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锘
</t>
    </r>
    <r>
      <rPr>
        <b/>
        <sz val="14"/>
        <color theme="1"/>
        <rFont val="游ゴシック"/>
        <family val="3"/>
        <charset val="128"/>
        <scheme val="minor"/>
      </rPr>
      <t>ノーベリウム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</si>
  <si>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铥
</t>
    </r>
    <r>
      <rPr>
        <b/>
        <sz val="14"/>
        <color theme="1"/>
        <rFont val="游ゴシック"/>
        <family val="3"/>
        <charset val="128"/>
        <scheme val="minor"/>
      </rPr>
      <t>ツリウム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</si>
  <si>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钔
</t>
    </r>
    <r>
      <rPr>
        <b/>
        <sz val="14"/>
        <color theme="1"/>
        <rFont val="游ゴシック"/>
        <family val="3"/>
        <charset val="128"/>
        <scheme val="minor"/>
      </rPr>
      <t>メンデレビウム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</si>
  <si>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镄
</t>
    </r>
    <r>
      <rPr>
        <b/>
        <sz val="14"/>
        <color theme="1"/>
        <rFont val="游ゴシック"/>
        <family val="3"/>
        <charset val="128"/>
        <scheme val="minor"/>
      </rPr>
      <t>フェルミウム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</si>
  <si>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铒
</t>
    </r>
    <r>
      <rPr>
        <b/>
        <sz val="14"/>
        <color theme="1"/>
        <rFont val="游ゴシック"/>
        <family val="3"/>
        <charset val="128"/>
        <scheme val="minor"/>
      </rPr>
      <t>エルビウム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</si>
  <si>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钬
</t>
    </r>
    <r>
      <rPr>
        <b/>
        <sz val="14"/>
        <color theme="1"/>
        <rFont val="游ゴシック"/>
        <family val="3"/>
        <charset val="128"/>
        <scheme val="minor"/>
      </rPr>
      <t>ホルミウム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</si>
  <si>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锿
</t>
    </r>
    <r>
      <rPr>
        <b/>
        <sz val="14"/>
        <color theme="1"/>
        <rFont val="游ゴシック"/>
        <family val="3"/>
        <charset val="128"/>
        <scheme val="minor"/>
      </rPr>
      <t>アインスタイニウム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</si>
  <si>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镝
</t>
    </r>
    <r>
      <rPr>
        <b/>
        <sz val="14"/>
        <color theme="1"/>
        <rFont val="游ゴシック"/>
        <family val="3"/>
        <charset val="128"/>
        <scheme val="minor"/>
      </rPr>
      <t>ジスプロシウム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</si>
  <si>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锎
</t>
    </r>
    <r>
      <rPr>
        <b/>
        <sz val="14"/>
        <color theme="1"/>
        <rFont val="游ゴシック"/>
        <family val="3"/>
        <charset val="128"/>
        <scheme val="minor"/>
      </rPr>
      <t>カリホルニウム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</si>
  <si>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铽
</t>
    </r>
    <r>
      <rPr>
        <b/>
        <sz val="14"/>
        <color theme="1"/>
        <rFont val="游ゴシック"/>
        <family val="3"/>
        <charset val="128"/>
        <scheme val="minor"/>
      </rPr>
      <t>テルビウム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</si>
  <si>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锫
</t>
    </r>
    <r>
      <rPr>
        <b/>
        <sz val="14"/>
        <color theme="1"/>
        <rFont val="游ゴシック"/>
        <family val="3"/>
        <charset val="128"/>
        <scheme val="minor"/>
      </rPr>
      <t>バークリウム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</si>
  <si>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钆
</t>
    </r>
    <r>
      <rPr>
        <b/>
        <sz val="14"/>
        <color theme="1"/>
        <rFont val="游ゴシック"/>
        <family val="3"/>
        <charset val="128"/>
        <scheme val="minor"/>
      </rPr>
      <t>ガドリニウム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</si>
  <si>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锔
</t>
    </r>
    <r>
      <rPr>
        <b/>
        <sz val="14"/>
        <color theme="1"/>
        <rFont val="游ゴシック"/>
        <family val="3"/>
        <charset val="128"/>
        <scheme val="minor"/>
      </rPr>
      <t>キュリウム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</si>
  <si>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铕
</t>
    </r>
    <r>
      <rPr>
        <b/>
        <sz val="14"/>
        <color theme="1"/>
        <rFont val="游ゴシック"/>
        <family val="3"/>
        <charset val="128"/>
        <scheme val="minor"/>
      </rPr>
      <t>ユウロピウム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</si>
  <si>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镅
</t>
    </r>
    <r>
      <rPr>
        <b/>
        <sz val="14"/>
        <color theme="1"/>
        <rFont val="游ゴシック"/>
        <family val="3"/>
        <charset val="128"/>
        <scheme val="minor"/>
      </rPr>
      <t>アメリシウム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</si>
  <si>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钐
</t>
    </r>
    <r>
      <rPr>
        <b/>
        <sz val="14"/>
        <color theme="1"/>
        <rFont val="游ゴシック"/>
        <family val="3"/>
        <charset val="128"/>
        <scheme val="minor"/>
      </rPr>
      <t>サマリウム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</si>
  <si>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钚
</t>
    </r>
    <r>
      <rPr>
        <b/>
        <sz val="14"/>
        <color theme="1"/>
        <rFont val="游ゴシック"/>
        <family val="3"/>
        <charset val="128"/>
        <scheme val="minor"/>
      </rPr>
      <t>プルトニウム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</si>
  <si>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钷
</t>
    </r>
    <r>
      <rPr>
        <b/>
        <sz val="14"/>
        <color theme="1"/>
        <rFont val="游ゴシック"/>
        <family val="3"/>
        <charset val="128"/>
        <scheme val="minor"/>
      </rPr>
      <t>プロメチウム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</si>
  <si>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镎
</t>
    </r>
    <r>
      <rPr>
        <b/>
        <sz val="14"/>
        <color theme="1"/>
        <rFont val="游ゴシック"/>
        <family val="3"/>
        <charset val="128"/>
        <scheme val="minor"/>
      </rPr>
      <t>ネプツニウム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</si>
  <si>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钕
</t>
    </r>
    <r>
      <rPr>
        <b/>
        <sz val="14"/>
        <color theme="1"/>
        <rFont val="游ゴシック"/>
        <family val="3"/>
        <charset val="128"/>
        <scheme val="minor"/>
      </rPr>
      <t>ネオジム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</si>
  <si>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铀
</t>
    </r>
    <r>
      <rPr>
        <b/>
        <sz val="14"/>
        <color theme="1"/>
        <rFont val="游ゴシック"/>
        <family val="3"/>
        <charset val="128"/>
        <scheme val="minor"/>
      </rPr>
      <t>ウラン</t>
    </r>
    <phoneticPr fontId="2"/>
  </si>
  <si>
    <r>
      <rPr>
        <b/>
        <sz val="14"/>
        <color theme="1"/>
        <rFont val="Microsoft YaHei"/>
        <family val="3"/>
        <charset val="134"/>
      </rPr>
      <t xml:space="preserve">镨
</t>
    </r>
    <r>
      <rPr>
        <b/>
        <sz val="14"/>
        <color theme="1"/>
        <rFont val="游ゴシック"/>
        <family val="3"/>
        <charset val="128"/>
        <scheme val="minor"/>
      </rPr>
      <t>プラセオジム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</si>
  <si>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镤
</t>
    </r>
    <r>
      <rPr>
        <b/>
        <sz val="14"/>
        <color theme="1"/>
        <rFont val="游ゴシック"/>
        <family val="3"/>
        <charset val="128"/>
        <scheme val="minor"/>
      </rPr>
      <t>プロトアクチニウム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</si>
  <si>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铈
</t>
    </r>
    <r>
      <rPr>
        <b/>
        <sz val="14"/>
        <color theme="1"/>
        <rFont val="游ゴシック"/>
        <family val="3"/>
        <charset val="128"/>
        <scheme val="minor"/>
      </rPr>
      <t>セリウム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</si>
  <si>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钍
</t>
    </r>
    <r>
      <rPr>
        <b/>
        <sz val="14"/>
        <color theme="1"/>
        <rFont val="游ゴシック"/>
        <family val="3"/>
        <charset val="128"/>
        <scheme val="minor"/>
      </rPr>
      <t>トリウム</t>
    </r>
    <phoneticPr fontId="2"/>
  </si>
  <si>
    <r>
      <rPr>
        <b/>
        <sz val="14"/>
        <color theme="1"/>
        <rFont val="Microsoft YaHei"/>
        <family val="3"/>
        <charset val="134"/>
      </rPr>
      <t xml:space="preserve">镧
</t>
    </r>
    <r>
      <rPr>
        <b/>
        <sz val="14"/>
        <color theme="1"/>
        <rFont val="游ゴシック"/>
        <family val="3"/>
        <charset val="128"/>
        <scheme val="minor"/>
      </rPr>
      <t>ランタン</t>
    </r>
    <phoneticPr fontId="2"/>
  </si>
  <si>
    <r>
      <rPr>
        <b/>
        <sz val="14"/>
        <color theme="1"/>
        <rFont val="Microsoft YaHei"/>
        <family val="3"/>
        <charset val="134"/>
      </rPr>
      <t xml:space="preserve">锕
</t>
    </r>
    <r>
      <rPr>
        <b/>
        <sz val="14"/>
        <color theme="1"/>
        <rFont val="游ゴシック"/>
        <family val="3"/>
        <charset val="128"/>
        <scheme val="minor"/>
      </rPr>
      <t>アクチニウム</t>
    </r>
    <phoneticPr fontId="2"/>
  </si>
  <si>
    <t>Input</t>
    <phoneticPr fontId="2"/>
  </si>
  <si>
    <t>Output</t>
    <phoneticPr fontId="2"/>
  </si>
  <si>
    <t>INPUT</t>
    <phoneticPr fontId="2"/>
  </si>
  <si>
    <t>OUT</t>
    <phoneticPr fontId="2"/>
  </si>
  <si>
    <t>8+1+1</t>
    <phoneticPr fontId="2"/>
  </si>
  <si>
    <t>Fussion</t>
    <phoneticPr fontId="2"/>
  </si>
  <si>
    <t>YB</t>
    <phoneticPr fontId="2"/>
  </si>
  <si>
    <t>fission</t>
    <phoneticPr fontId="2"/>
  </si>
  <si>
    <t>Br+Br</t>
    <phoneticPr fontId="2"/>
  </si>
  <si>
    <t>Br+I</t>
    <phoneticPr fontId="2"/>
  </si>
  <si>
    <t>I+I</t>
    <phoneticPr fontId="2"/>
  </si>
  <si>
    <t>I+Br</t>
    <phoneticPr fontId="2"/>
  </si>
  <si>
    <t>Volume2-Issue4</t>
    <phoneticPr fontId="2"/>
  </si>
  <si>
    <t>PAS</t>
    <phoneticPr fontId="2"/>
  </si>
  <si>
    <t>INH</t>
    <phoneticPr fontId="2"/>
  </si>
  <si>
    <t>PZA</t>
    <phoneticPr fontId="2"/>
  </si>
  <si>
    <t>Volume5-Issue5-</t>
    <phoneticPr fontId="2"/>
  </si>
  <si>
    <t>Volume6-IssueI2-</t>
    <phoneticPr fontId="2"/>
  </si>
  <si>
    <t>Volume6-Issue3-</t>
    <phoneticPr fontId="2"/>
  </si>
  <si>
    <t>Volume7-Issue6-</t>
    <phoneticPr fontId="2"/>
  </si>
  <si>
    <t>Volume9-Issue4-</t>
    <phoneticPr fontId="2"/>
  </si>
  <si>
    <t>Volume9-Issue9-</t>
    <phoneticPr fontId="2"/>
  </si>
  <si>
    <t>Volume9-Issued12</t>
    <phoneticPr fontId="2"/>
  </si>
  <si>
    <t>Volume9-Issued8</t>
    <phoneticPr fontId="2"/>
  </si>
  <si>
    <t>Volume9-Issue7-1</t>
    <phoneticPr fontId="2"/>
  </si>
  <si>
    <t>Volume9-Issue7-2</t>
    <phoneticPr fontId="2"/>
  </si>
  <si>
    <t>Volume9-Issue7-3</t>
    <phoneticPr fontId="2"/>
  </si>
  <si>
    <t>Volume7-Issue3-3</t>
    <phoneticPr fontId="2"/>
  </si>
  <si>
    <t>Volume7-Issue4-3</t>
    <phoneticPr fontId="2"/>
  </si>
  <si>
    <t>Fb</t>
    <phoneticPr fontId="2"/>
  </si>
  <si>
    <t>Volume9-Issue1-1</t>
    <phoneticPr fontId="2"/>
  </si>
  <si>
    <t>OUTPUT</t>
    <phoneticPr fontId="2"/>
  </si>
  <si>
    <t>OH2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</si>
</sst>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name val="游ゴシック"/>
      <family val="2"/>
      <charset val="128"/>
      <scheme val="minor"/>
    </font>
    <font>
      <sz val="14"/>
      <name val="游ゴシック"/>
      <family val="3"/>
      <charset val="128"/>
      <scheme val="minor"/>
    </font>
    <font>
      <sz val="20"/>
      <color theme="1"/>
      <name val="游ゴシック"/>
      <family val="2"/>
      <charset val="128"/>
      <scheme val="minor"/>
    </font>
    <font>
      <b/>
      <sz val="14"/>
      <color rgb="FFFF0000"/>
      <name val="游ゴシック"/>
      <family val="3"/>
      <charset val="128"/>
      <scheme val="minor"/>
    </font>
    <font>
      <sz val="14"/>
      <color theme="1"/>
      <name val="游ゴシック"/>
      <family val="2"/>
      <charset val="128"/>
    </font>
    <font>
      <b/>
      <sz val="14"/>
      <color theme="1"/>
      <name val="游ゴシック"/>
      <family val="3"/>
      <charset val="128"/>
      <scheme val="minor"/>
    </font>
    <font>
      <b/>
      <sz val="14"/>
      <color theme="1"/>
      <name val="Microsoft YaHei"/>
      <family val="2"/>
      <charset val="134"/>
    </font>
    <font>
      <b/>
      <sz val="14"/>
      <color theme="1"/>
      <name val="Microsoft YaHei"/>
      <family val="3"/>
      <charset val="134"/>
    </font>
    <font>
      <b/>
      <sz val="14"/>
      <color theme="1"/>
      <name val="游ゴシック"/>
      <family val="3"/>
      <charset val="134"/>
      <scheme val="minor"/>
    </font>
    <font>
      <b/>
      <sz val="14"/>
      <color theme="1"/>
      <name val="Microsoft YaHei UI"/>
      <family val="3"/>
      <charset val="134"/>
    </font>
    <font>
      <b/>
      <sz val="14"/>
      <color theme="1"/>
      <name val="Microsoft JhengHei"/>
      <family val="3"/>
      <charset val="136"/>
    </font>
    <font>
      <b/>
      <sz val="14"/>
      <color theme="1"/>
      <name val="游ゴシック"/>
      <family val="3"/>
      <charset val="136"/>
      <scheme val="minor"/>
    </font>
    <font>
      <sz val="14"/>
      <color theme="1"/>
      <name val="Microsoft YaHei"/>
      <family val="2"/>
      <charset val="134"/>
    </font>
    <font>
      <b/>
      <sz val="14"/>
      <color theme="1"/>
      <name val="游ゴシック"/>
      <family val="2"/>
      <charset val="128"/>
      <scheme val="minor"/>
    </font>
    <font>
      <vertAlign val="subscript"/>
      <sz val="14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4"/>
      <color theme="1"/>
      <name val="游ゴシック"/>
      <family val="2"/>
      <charset val="134"/>
      <scheme val="minor"/>
    </font>
    <font>
      <b/>
      <sz val="14"/>
      <name val="游ゴシック"/>
      <family val="3"/>
      <charset val="128"/>
      <scheme val="minor"/>
    </font>
    <font>
      <b/>
      <sz val="14"/>
      <color theme="2"/>
      <name val="游ゴシック"/>
      <family val="3"/>
      <charset val="128"/>
      <scheme val="minor"/>
    </font>
    <font>
      <b/>
      <sz val="14"/>
      <color theme="2"/>
      <name val="Microsoft YaHei"/>
      <family val="3"/>
      <charset val="134"/>
    </font>
    <font>
      <sz val="14"/>
      <color theme="1"/>
      <name val="游ゴシック"/>
      <family val="2"/>
      <charset val="134"/>
    </font>
    <font>
      <b/>
      <sz val="14"/>
      <color theme="1"/>
      <name val="游ゴシック"/>
      <family val="2"/>
      <charset val="134"/>
      <scheme val="minor"/>
    </font>
    <font>
      <sz val="1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2"/>
      <color theme="1"/>
      <name val="Yu Gothic UI"/>
      <family val="3"/>
      <charset val="128"/>
    </font>
    <font>
      <u/>
      <sz val="12"/>
      <color theme="10"/>
      <name val="Yu Gothic UI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0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47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0" xfId="0" quotePrefix="1" applyFont="1" applyFill="1" applyBorder="1" applyAlignment="1">
      <alignment horizontal="center" vertical="center"/>
    </xf>
    <xf numFmtId="0" fontId="1" fillId="0" borderId="0" xfId="0" quotePrefix="1" applyFont="1" applyFill="1" applyAlignment="1">
      <alignment horizontal="center" vertical="center"/>
    </xf>
    <xf numFmtId="0" fontId="1" fillId="0" borderId="28" xfId="0" applyFont="1" applyFill="1" applyBorder="1" applyAlignment="1">
      <alignment horizontal="center" vertical="center"/>
    </xf>
    <xf numFmtId="0" fontId="1" fillId="0" borderId="29" xfId="0" quotePrefix="1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1" fillId="0" borderId="3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/>
    </xf>
    <xf numFmtId="0" fontId="1" fillId="0" borderId="21" xfId="0" quotePrefix="1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27" xfId="0" applyFont="1" applyFill="1" applyBorder="1" applyAlignment="1">
      <alignment horizontal="center" vertical="center"/>
    </xf>
    <xf numFmtId="0" fontId="1" fillId="0" borderId="31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0" fontId="1" fillId="0" borderId="40" xfId="0" quotePrefix="1" applyFont="1" applyFill="1" applyBorder="1" applyAlignment="1">
      <alignment horizontal="center" vertical="center"/>
    </xf>
    <xf numFmtId="0" fontId="1" fillId="0" borderId="36" xfId="0" applyFont="1" applyFill="1" applyBorder="1" applyAlignment="1">
      <alignment horizontal="center" vertical="center"/>
    </xf>
    <xf numFmtId="0" fontId="1" fillId="0" borderId="37" xfId="0" applyFont="1" applyFill="1" applyBorder="1" applyAlignment="1">
      <alignment horizontal="center" vertical="center"/>
    </xf>
    <xf numFmtId="0" fontId="4" fillId="0" borderId="37" xfId="0" applyFont="1" applyFill="1" applyBorder="1" applyAlignment="1">
      <alignment horizontal="center" vertical="center"/>
    </xf>
    <xf numFmtId="0" fontId="1" fillId="0" borderId="37" xfId="0" quotePrefix="1" applyFont="1" applyFill="1" applyBorder="1" applyAlignment="1">
      <alignment horizontal="center" vertical="center"/>
    </xf>
    <xf numFmtId="0" fontId="6" fillId="0" borderId="4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quotePrefix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quotePrefix="1" applyFont="1" applyFill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  <xf numFmtId="0" fontId="4" fillId="0" borderId="29" xfId="0" quotePrefix="1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4" fillId="0" borderId="32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/>
    </xf>
    <xf numFmtId="0" fontId="4" fillId="0" borderId="21" xfId="0" quotePrefix="1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0" fontId="6" fillId="0" borderId="0" xfId="0" quotePrefix="1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6" fillId="0" borderId="27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22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41" xfId="0" applyFont="1" applyFill="1" applyBorder="1" applyAlignment="1">
      <alignment horizontal="center" vertical="center"/>
    </xf>
    <xf numFmtId="0" fontId="1" fillId="0" borderId="43" xfId="0" applyFont="1" applyFill="1" applyBorder="1" applyAlignment="1">
      <alignment horizontal="center" vertical="center"/>
    </xf>
    <xf numFmtId="0" fontId="1" fillId="0" borderId="42" xfId="0" applyFont="1" applyFill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8" fillId="7" borderId="28" xfId="0" applyFont="1" applyFill="1" applyBorder="1" applyAlignment="1">
      <alignment horizontal="center" vertical="center" shrinkToFit="1"/>
    </xf>
    <xf numFmtId="0" fontId="8" fillId="7" borderId="29" xfId="0" applyFont="1" applyFill="1" applyBorder="1" applyAlignment="1">
      <alignment horizontal="center" vertical="center" shrinkToFit="1"/>
    </xf>
    <xf numFmtId="0" fontId="8" fillId="7" borderId="30" xfId="0" applyFont="1" applyFill="1" applyBorder="1" applyAlignment="1">
      <alignment horizontal="center" vertical="center" shrinkToFit="1"/>
    </xf>
    <xf numFmtId="0" fontId="8" fillId="7" borderId="31" xfId="0" applyFont="1" applyFill="1" applyBorder="1" applyAlignment="1">
      <alignment horizontal="center" vertical="center" shrinkToFit="1"/>
    </xf>
    <xf numFmtId="0" fontId="8" fillId="7" borderId="0" xfId="0" applyFont="1" applyFill="1" applyBorder="1" applyAlignment="1">
      <alignment horizontal="center" vertical="center" shrinkToFit="1"/>
    </xf>
    <xf numFmtId="0" fontId="8" fillId="7" borderId="32" xfId="0" applyFont="1" applyFill="1" applyBorder="1" applyAlignment="1">
      <alignment horizontal="center" vertical="center" shrinkToFit="1"/>
    </xf>
    <xf numFmtId="0" fontId="8" fillId="8" borderId="28" xfId="0" applyFont="1" applyFill="1" applyBorder="1" applyAlignment="1">
      <alignment horizontal="center" vertical="center" shrinkToFit="1"/>
    </xf>
    <xf numFmtId="0" fontId="8" fillId="8" borderId="29" xfId="0" applyFont="1" applyFill="1" applyBorder="1" applyAlignment="1">
      <alignment horizontal="center" vertical="center" shrinkToFit="1"/>
    </xf>
    <xf numFmtId="0" fontId="8" fillId="8" borderId="30" xfId="0" applyFont="1" applyFill="1" applyBorder="1" applyAlignment="1">
      <alignment horizontal="center" vertical="center" shrinkToFit="1"/>
    </xf>
    <xf numFmtId="0" fontId="8" fillId="8" borderId="31" xfId="0" applyFont="1" applyFill="1" applyBorder="1" applyAlignment="1">
      <alignment horizontal="center" vertical="center" shrinkToFit="1"/>
    </xf>
    <xf numFmtId="0" fontId="8" fillId="8" borderId="0" xfId="0" applyFont="1" applyFill="1" applyBorder="1" applyAlignment="1">
      <alignment horizontal="center" vertical="center" shrinkToFit="1"/>
    </xf>
    <xf numFmtId="0" fontId="8" fillId="8" borderId="32" xfId="0" applyFont="1" applyFill="1" applyBorder="1" applyAlignment="1">
      <alignment horizontal="center" vertical="center" shrinkToFit="1"/>
    </xf>
    <xf numFmtId="0" fontId="8" fillId="9" borderId="28" xfId="0" applyFont="1" applyFill="1" applyBorder="1" applyAlignment="1">
      <alignment horizontal="center" vertical="center" shrinkToFit="1"/>
    </xf>
    <xf numFmtId="0" fontId="8" fillId="9" borderId="29" xfId="0" applyFont="1" applyFill="1" applyBorder="1" applyAlignment="1">
      <alignment horizontal="center" vertical="center" shrinkToFit="1"/>
    </xf>
    <xf numFmtId="0" fontId="8" fillId="9" borderId="30" xfId="0" applyFont="1" applyFill="1" applyBorder="1" applyAlignment="1">
      <alignment horizontal="center" vertical="center" shrinkToFit="1"/>
    </xf>
    <xf numFmtId="0" fontId="8" fillId="9" borderId="31" xfId="0" applyFont="1" applyFill="1" applyBorder="1" applyAlignment="1">
      <alignment horizontal="center" vertical="center" shrinkToFit="1"/>
    </xf>
    <xf numFmtId="0" fontId="8" fillId="9" borderId="0" xfId="0" applyFont="1" applyFill="1" applyBorder="1" applyAlignment="1">
      <alignment horizontal="center" vertical="center" shrinkToFit="1"/>
    </xf>
    <xf numFmtId="0" fontId="8" fillId="9" borderId="32" xfId="0" applyFont="1" applyFill="1" applyBorder="1" applyAlignment="1">
      <alignment horizontal="center" vertical="center" shrinkToFit="1"/>
    </xf>
    <xf numFmtId="0" fontId="8" fillId="6" borderId="28" xfId="0" applyFont="1" applyFill="1" applyBorder="1" applyAlignment="1">
      <alignment horizontal="center" vertical="center" shrinkToFit="1"/>
    </xf>
    <xf numFmtId="0" fontId="8" fillId="6" borderId="29" xfId="0" applyFont="1" applyFill="1" applyBorder="1" applyAlignment="1">
      <alignment horizontal="center" vertical="center" shrinkToFit="1"/>
    </xf>
    <xf numFmtId="0" fontId="8" fillId="6" borderId="30" xfId="0" applyFont="1" applyFill="1" applyBorder="1" applyAlignment="1">
      <alignment horizontal="center" vertical="center" shrinkToFit="1"/>
    </xf>
    <xf numFmtId="0" fontId="8" fillId="6" borderId="31" xfId="0" applyFont="1" applyFill="1" applyBorder="1" applyAlignment="1">
      <alignment horizontal="center" vertical="center" shrinkToFit="1"/>
    </xf>
    <xf numFmtId="0" fontId="8" fillId="6" borderId="0" xfId="0" applyFont="1" applyFill="1" applyBorder="1" applyAlignment="1">
      <alignment horizontal="center" vertical="center" shrinkToFit="1"/>
    </xf>
    <xf numFmtId="0" fontId="8" fillId="6" borderId="32" xfId="0" applyFont="1" applyFill="1" applyBorder="1" applyAlignment="1">
      <alignment horizontal="center" vertical="center" shrinkToFit="1"/>
    </xf>
    <xf numFmtId="0" fontId="8" fillId="10" borderId="28" xfId="0" applyFont="1" applyFill="1" applyBorder="1" applyAlignment="1">
      <alignment horizontal="center" vertical="center" shrinkToFit="1"/>
    </xf>
    <xf numFmtId="0" fontId="8" fillId="10" borderId="29" xfId="0" applyFont="1" applyFill="1" applyBorder="1" applyAlignment="1">
      <alignment horizontal="center" vertical="center" shrinkToFit="1"/>
    </xf>
    <xf numFmtId="0" fontId="8" fillId="10" borderId="30" xfId="0" applyFont="1" applyFill="1" applyBorder="1" applyAlignment="1">
      <alignment horizontal="center" vertical="center" shrinkToFit="1"/>
    </xf>
    <xf numFmtId="0" fontId="8" fillId="10" borderId="31" xfId="0" applyFont="1" applyFill="1" applyBorder="1" applyAlignment="1">
      <alignment horizontal="center" vertical="center" shrinkToFit="1"/>
    </xf>
    <xf numFmtId="0" fontId="8" fillId="10" borderId="0" xfId="0" applyFont="1" applyFill="1" applyBorder="1" applyAlignment="1">
      <alignment horizontal="center" vertical="center" shrinkToFit="1"/>
    </xf>
    <xf numFmtId="0" fontId="8" fillId="10" borderId="32" xfId="0" applyFont="1" applyFill="1" applyBorder="1" applyAlignment="1">
      <alignment horizontal="center" vertical="center" shrinkToFit="1"/>
    </xf>
    <xf numFmtId="0" fontId="8" fillId="11" borderId="28" xfId="0" applyFont="1" applyFill="1" applyBorder="1" applyAlignment="1">
      <alignment horizontal="center" vertical="center" shrinkToFit="1"/>
    </xf>
    <xf numFmtId="0" fontId="8" fillId="11" borderId="29" xfId="0" applyFont="1" applyFill="1" applyBorder="1" applyAlignment="1">
      <alignment horizontal="center" vertical="center" shrinkToFit="1"/>
    </xf>
    <xf numFmtId="0" fontId="8" fillId="11" borderId="30" xfId="0" applyFont="1" applyFill="1" applyBorder="1" applyAlignment="1">
      <alignment horizontal="center" vertical="center" shrinkToFit="1"/>
    </xf>
    <xf numFmtId="0" fontId="8" fillId="11" borderId="31" xfId="0" applyFont="1" applyFill="1" applyBorder="1" applyAlignment="1">
      <alignment horizontal="center" vertical="center" shrinkToFit="1"/>
    </xf>
    <xf numFmtId="0" fontId="8" fillId="11" borderId="0" xfId="0" applyFont="1" applyFill="1" applyBorder="1" applyAlignment="1">
      <alignment horizontal="center" vertical="center" shrinkToFit="1"/>
    </xf>
    <xf numFmtId="0" fontId="8" fillId="11" borderId="32" xfId="0" applyFont="1" applyFill="1" applyBorder="1" applyAlignment="1">
      <alignment horizontal="center" vertical="center" shrinkToFit="1"/>
    </xf>
    <xf numFmtId="0" fontId="10" fillId="11" borderId="0" xfId="0" applyFont="1" applyFill="1" applyBorder="1" applyAlignment="1">
      <alignment horizontal="center" vertical="center" shrinkToFit="1"/>
    </xf>
    <xf numFmtId="0" fontId="8" fillId="12" borderId="28" xfId="0" applyFont="1" applyFill="1" applyBorder="1" applyAlignment="1">
      <alignment horizontal="center" vertical="center" shrinkToFit="1"/>
    </xf>
    <xf numFmtId="0" fontId="8" fillId="12" borderId="29" xfId="0" applyFont="1" applyFill="1" applyBorder="1" applyAlignment="1">
      <alignment horizontal="center" vertical="center" shrinkToFit="1"/>
    </xf>
    <xf numFmtId="0" fontId="8" fillId="12" borderId="30" xfId="0" applyFont="1" applyFill="1" applyBorder="1" applyAlignment="1">
      <alignment horizontal="center" vertical="center" shrinkToFit="1"/>
    </xf>
    <xf numFmtId="0" fontId="8" fillId="12" borderId="31" xfId="0" applyFont="1" applyFill="1" applyBorder="1" applyAlignment="1">
      <alignment horizontal="center" vertical="center" shrinkToFit="1"/>
    </xf>
    <xf numFmtId="0" fontId="8" fillId="12" borderId="0" xfId="0" applyFont="1" applyFill="1" applyBorder="1" applyAlignment="1">
      <alignment horizontal="center" vertical="center" shrinkToFit="1"/>
    </xf>
    <xf numFmtId="0" fontId="8" fillId="12" borderId="32" xfId="0" applyFont="1" applyFill="1" applyBorder="1" applyAlignment="1">
      <alignment horizontal="center" vertical="center" shrinkToFit="1"/>
    </xf>
    <xf numFmtId="0" fontId="6" fillId="0" borderId="42" xfId="0" applyFont="1" applyFill="1" applyBorder="1" applyAlignment="1">
      <alignment horizontal="center" vertical="center"/>
    </xf>
    <xf numFmtId="0" fontId="6" fillId="0" borderId="47" xfId="0" applyFont="1" applyFill="1" applyBorder="1" applyAlignment="1">
      <alignment horizontal="center" vertical="center"/>
    </xf>
    <xf numFmtId="0" fontId="1" fillId="0" borderId="46" xfId="0" applyFont="1" applyFill="1" applyBorder="1" applyAlignment="1">
      <alignment horizontal="center" vertical="center"/>
    </xf>
    <xf numFmtId="0" fontId="1" fillId="0" borderId="44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14" borderId="23" xfId="0" applyFont="1" applyFill="1" applyBorder="1" applyAlignment="1">
      <alignment horizontal="center" vertical="center"/>
    </xf>
    <xf numFmtId="0" fontId="1" fillId="14" borderId="48" xfId="0" applyFont="1" applyFill="1" applyBorder="1" applyAlignment="1">
      <alignment horizontal="center" vertical="center"/>
    </xf>
    <xf numFmtId="0" fontId="1" fillId="14" borderId="49" xfId="0" applyFont="1" applyFill="1" applyBorder="1" applyAlignment="1">
      <alignment horizontal="center" vertical="center"/>
    </xf>
    <xf numFmtId="0" fontId="1" fillId="14" borderId="50" xfId="0" applyFont="1" applyFill="1" applyBorder="1" applyAlignment="1">
      <alignment horizontal="center" vertical="center"/>
    </xf>
    <xf numFmtId="0" fontId="1" fillId="14" borderId="51" xfId="0" applyFont="1" applyFill="1" applyBorder="1" applyAlignment="1">
      <alignment horizontal="center" vertical="center"/>
    </xf>
    <xf numFmtId="0" fontId="1" fillId="14" borderId="0" xfId="0" applyFont="1" applyFill="1" applyBorder="1" applyAlignment="1">
      <alignment horizontal="center" vertical="center"/>
    </xf>
    <xf numFmtId="0" fontId="1" fillId="14" borderId="52" xfId="0" applyFont="1" applyFill="1" applyBorder="1" applyAlignment="1">
      <alignment horizontal="center" vertical="center"/>
    </xf>
    <xf numFmtId="0" fontId="1" fillId="14" borderId="53" xfId="0" applyFont="1" applyFill="1" applyBorder="1" applyAlignment="1">
      <alignment horizontal="center" vertical="center"/>
    </xf>
    <xf numFmtId="0" fontId="1" fillId="14" borderId="54" xfId="0" applyFont="1" applyFill="1" applyBorder="1" applyAlignment="1">
      <alignment horizontal="center" vertical="center"/>
    </xf>
    <xf numFmtId="0" fontId="1" fillId="14" borderId="56" xfId="0" applyFont="1" applyFill="1" applyBorder="1" applyAlignment="1">
      <alignment horizontal="center" vertical="center"/>
    </xf>
    <xf numFmtId="0" fontId="1" fillId="14" borderId="57" xfId="0" applyFont="1" applyFill="1" applyBorder="1" applyAlignment="1">
      <alignment horizontal="center" vertical="center"/>
    </xf>
    <xf numFmtId="0" fontId="1" fillId="14" borderId="58" xfId="0" applyFont="1" applyFill="1" applyBorder="1" applyAlignment="1">
      <alignment horizontal="center" vertical="center"/>
    </xf>
    <xf numFmtId="0" fontId="1" fillId="14" borderId="59" xfId="0" applyFont="1" applyFill="1" applyBorder="1" applyAlignment="1">
      <alignment horizontal="center" vertical="center"/>
    </xf>
    <xf numFmtId="0" fontId="1" fillId="14" borderId="30" xfId="0" applyFont="1" applyFill="1" applyBorder="1" applyAlignment="1">
      <alignment horizontal="center" vertical="center"/>
    </xf>
    <xf numFmtId="0" fontId="1" fillId="14" borderId="27" xfId="0" applyFont="1" applyFill="1" applyBorder="1" applyAlignment="1">
      <alignment horizontal="center" vertical="center"/>
    </xf>
    <xf numFmtId="0" fontId="1" fillId="14" borderId="61" xfId="0" applyFont="1" applyFill="1" applyBorder="1" applyAlignment="1">
      <alignment horizontal="center" vertical="center"/>
    </xf>
    <xf numFmtId="0" fontId="1" fillId="14" borderId="6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14" borderId="62" xfId="0" applyFont="1" applyFill="1" applyBorder="1" applyAlignment="1">
      <alignment horizontal="center" vertical="center"/>
    </xf>
    <xf numFmtId="0" fontId="1" fillId="14" borderId="63" xfId="0" applyFont="1" applyFill="1" applyBorder="1" applyAlignment="1">
      <alignment horizontal="center" vertical="center"/>
    </xf>
    <xf numFmtId="0" fontId="1" fillId="14" borderId="64" xfId="0" applyFont="1" applyFill="1" applyBorder="1" applyAlignment="1">
      <alignment horizontal="center" vertical="center"/>
    </xf>
    <xf numFmtId="0" fontId="1" fillId="14" borderId="65" xfId="0" applyFont="1" applyFill="1" applyBorder="1" applyAlignment="1">
      <alignment horizontal="center" vertical="center"/>
    </xf>
    <xf numFmtId="0" fontId="1" fillId="14" borderId="66" xfId="0" applyFont="1" applyFill="1" applyBorder="1" applyAlignment="1">
      <alignment horizontal="center" vertical="center"/>
    </xf>
    <xf numFmtId="0" fontId="1" fillId="14" borderId="67" xfId="0" applyFont="1" applyFill="1" applyBorder="1" applyAlignment="1">
      <alignment horizontal="center" vertical="center"/>
    </xf>
    <xf numFmtId="0" fontId="1" fillId="14" borderId="68" xfId="0" applyFont="1" applyFill="1" applyBorder="1" applyAlignment="1">
      <alignment horizontal="center" vertical="center"/>
    </xf>
    <xf numFmtId="0" fontId="1" fillId="14" borderId="69" xfId="0" applyFont="1" applyFill="1" applyBorder="1" applyAlignment="1">
      <alignment horizontal="center" vertical="center"/>
    </xf>
    <xf numFmtId="0" fontId="1" fillId="14" borderId="71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4" fillId="14" borderId="54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14" borderId="74" xfId="0" applyFont="1" applyFill="1" applyBorder="1" applyAlignment="1">
      <alignment horizontal="center" vertical="center"/>
    </xf>
    <xf numFmtId="0" fontId="1" fillId="14" borderId="70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14" borderId="75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6" fillId="14" borderId="50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4" fillId="14" borderId="5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14" borderId="58" xfId="0" applyFont="1" applyFill="1" applyBorder="1" applyAlignment="1">
      <alignment horizontal="center" vertical="center"/>
    </xf>
    <xf numFmtId="0" fontId="1" fillId="14" borderId="76" xfId="0" applyFont="1" applyFill="1" applyBorder="1" applyAlignment="1">
      <alignment horizontal="center" vertical="center"/>
    </xf>
    <xf numFmtId="0" fontId="1" fillId="14" borderId="77" xfId="0" applyFont="1" applyFill="1" applyBorder="1" applyAlignment="1">
      <alignment horizontal="center" vertical="center"/>
    </xf>
    <xf numFmtId="0" fontId="1" fillId="14" borderId="78" xfId="0" applyFont="1" applyFill="1" applyBorder="1" applyAlignment="1">
      <alignment horizontal="center" vertical="center"/>
    </xf>
    <xf numFmtId="0" fontId="4" fillId="14" borderId="73" xfId="0" applyFont="1" applyFill="1" applyBorder="1" applyAlignment="1">
      <alignment horizontal="center" vertical="center"/>
    </xf>
    <xf numFmtId="0" fontId="6" fillId="14" borderId="53" xfId="0" applyFont="1" applyFill="1" applyBorder="1" applyAlignment="1">
      <alignment horizontal="center" vertical="center"/>
    </xf>
    <xf numFmtId="0" fontId="4" fillId="14" borderId="50" xfId="0" applyFont="1" applyFill="1" applyBorder="1" applyAlignment="1">
      <alignment horizontal="center" vertical="center"/>
    </xf>
    <xf numFmtId="0" fontId="6" fillId="14" borderId="48" xfId="0" applyFont="1" applyFill="1" applyBorder="1" applyAlignment="1">
      <alignment horizontal="center" vertical="center"/>
    </xf>
    <xf numFmtId="0" fontId="1" fillId="14" borderId="73" xfId="0" applyFont="1" applyFill="1" applyBorder="1" applyAlignment="1">
      <alignment horizontal="center" vertical="center"/>
    </xf>
    <xf numFmtId="0" fontId="4" fillId="14" borderId="49" xfId="0" applyFont="1" applyFill="1" applyBorder="1" applyAlignment="1">
      <alignment horizontal="center" vertical="center"/>
    </xf>
    <xf numFmtId="0" fontId="4" fillId="14" borderId="23" xfId="0" applyFont="1" applyFill="1" applyBorder="1" applyAlignment="1">
      <alignment horizontal="center" vertical="center"/>
    </xf>
    <xf numFmtId="0" fontId="1" fillId="6" borderId="28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4" fillId="14" borderId="69" xfId="0" applyFont="1" applyFill="1" applyBorder="1" applyAlignment="1">
      <alignment horizontal="center" vertical="center"/>
    </xf>
    <xf numFmtId="0" fontId="4" fillId="14" borderId="7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5" fillId="0" borderId="40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 shrinkToFit="1"/>
    </xf>
    <xf numFmtId="0" fontId="15" fillId="0" borderId="79" xfId="0" applyFont="1" applyBorder="1" applyAlignment="1">
      <alignment horizontal="center" vertical="center" shrinkToFit="1"/>
    </xf>
    <xf numFmtId="0" fontId="15" fillId="0" borderId="83" xfId="0" applyFont="1" applyBorder="1" applyAlignment="1">
      <alignment horizontal="center" vertical="center"/>
    </xf>
    <xf numFmtId="0" fontId="15" fillId="0" borderId="84" xfId="0" applyFont="1" applyBorder="1" applyAlignment="1">
      <alignment horizontal="center" vertical="center"/>
    </xf>
    <xf numFmtId="0" fontId="15" fillId="0" borderId="85" xfId="0" applyFont="1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0" fontId="1" fillId="0" borderId="85" xfId="0" applyFont="1" applyBorder="1" applyAlignment="1">
      <alignment horizontal="center" vertical="center"/>
    </xf>
    <xf numFmtId="0" fontId="15" fillId="0" borderId="80" xfId="0" applyFont="1" applyBorder="1" applyAlignment="1">
      <alignment horizontal="center" vertical="center" shrinkToFit="1"/>
    </xf>
    <xf numFmtId="0" fontId="15" fillId="0" borderId="81" xfId="0" applyFont="1" applyBorder="1" applyAlignment="1">
      <alignment horizontal="center" vertical="center" shrinkToFit="1"/>
    </xf>
    <xf numFmtId="0" fontId="15" fillId="0" borderId="82" xfId="0" applyFont="1" applyBorder="1" applyAlignment="1">
      <alignment horizontal="center" vertical="center" shrinkToFit="1"/>
    </xf>
    <xf numFmtId="0" fontId="15" fillId="0" borderId="40" xfId="0" applyFont="1" applyBorder="1" applyAlignment="1">
      <alignment horizontal="center" vertical="center" shrinkToFit="1"/>
    </xf>
    <xf numFmtId="0" fontId="1" fillId="8" borderId="0" xfId="0" applyFont="1" applyFill="1" applyAlignment="1">
      <alignment vertical="center"/>
    </xf>
    <xf numFmtId="0" fontId="1" fillId="8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1" fillId="14" borderId="28" xfId="0" applyFont="1" applyFill="1" applyBorder="1" applyAlignment="1">
      <alignment vertical="center"/>
    </xf>
    <xf numFmtId="0" fontId="1" fillId="14" borderId="24" xfId="0" applyFont="1" applyFill="1" applyBorder="1" applyAlignment="1">
      <alignment vertical="center"/>
    </xf>
    <xf numFmtId="0" fontId="1" fillId="14" borderId="26" xfId="0" applyFont="1" applyFill="1" applyBorder="1" applyAlignment="1">
      <alignment vertical="center"/>
    </xf>
    <xf numFmtId="0" fontId="1" fillId="14" borderId="25" xfId="0" applyFont="1" applyFill="1" applyBorder="1" applyAlignment="1">
      <alignment vertical="center"/>
    </xf>
    <xf numFmtId="0" fontId="1" fillId="14" borderId="32" xfId="0" applyFont="1" applyFill="1" applyBorder="1" applyAlignment="1">
      <alignment horizontal="center" vertical="center"/>
    </xf>
    <xf numFmtId="0" fontId="1" fillId="14" borderId="3" xfId="0" applyFont="1" applyFill="1" applyBorder="1" applyAlignment="1">
      <alignment vertical="center"/>
    </xf>
    <xf numFmtId="0" fontId="1" fillId="14" borderId="18" xfId="0" applyFont="1" applyFill="1" applyBorder="1" applyAlignment="1">
      <alignment horizontal="center" vertical="center"/>
    </xf>
    <xf numFmtId="0" fontId="1" fillId="14" borderId="17" xfId="0" applyFont="1" applyFill="1" applyBorder="1" applyAlignment="1">
      <alignment vertical="center"/>
    </xf>
    <xf numFmtId="0" fontId="1" fillId="14" borderId="0" xfId="0" applyFont="1" applyFill="1" applyBorder="1" applyAlignment="1">
      <alignment vertical="center"/>
    </xf>
    <xf numFmtId="0" fontId="1" fillId="14" borderId="4" xfId="0" applyFont="1" applyFill="1" applyBorder="1" applyAlignment="1">
      <alignment horizontal="center" vertical="center"/>
    </xf>
    <xf numFmtId="0" fontId="1" fillId="14" borderId="3" xfId="0" applyFont="1" applyFill="1" applyBorder="1" applyAlignment="1">
      <alignment horizontal="center" vertical="center"/>
    </xf>
    <xf numFmtId="0" fontId="1" fillId="14" borderId="19" xfId="0" applyFont="1" applyFill="1" applyBorder="1" applyAlignment="1">
      <alignment vertical="center"/>
    </xf>
    <xf numFmtId="0" fontId="1" fillId="14" borderId="15" xfId="0" applyFont="1" applyFill="1" applyBorder="1" applyAlignment="1">
      <alignment horizontal="center" vertical="center"/>
    </xf>
    <xf numFmtId="0" fontId="1" fillId="14" borderId="16" xfId="0" applyFont="1" applyFill="1" applyBorder="1" applyAlignment="1">
      <alignment vertical="center"/>
    </xf>
    <xf numFmtId="0" fontId="1" fillId="14" borderId="15" xfId="0" applyFont="1" applyFill="1" applyBorder="1" applyAlignment="1">
      <alignment vertical="center"/>
    </xf>
    <xf numFmtId="0" fontId="1" fillId="14" borderId="55" xfId="0" applyFont="1" applyFill="1" applyBorder="1" applyAlignment="1">
      <alignment horizontal="center" vertical="center"/>
    </xf>
    <xf numFmtId="0" fontId="1" fillId="14" borderId="6" xfId="0" applyFont="1" applyFill="1" applyBorder="1" applyAlignment="1">
      <alignment horizontal="center" vertical="center"/>
    </xf>
    <xf numFmtId="0" fontId="1" fillId="14" borderId="59" xfId="0" applyFont="1" applyFill="1" applyBorder="1" applyAlignment="1">
      <alignment vertical="center"/>
    </xf>
    <xf numFmtId="0" fontId="1" fillId="14" borderId="73" xfId="0" applyFont="1" applyFill="1" applyBorder="1" applyAlignment="1">
      <alignment vertical="center"/>
    </xf>
    <xf numFmtId="0" fontId="1" fillId="14" borderId="0" xfId="0" applyFont="1" applyFill="1" applyBorder="1" applyAlignment="1">
      <alignment horizontal="center" vertical="center"/>
    </xf>
    <xf numFmtId="0" fontId="1" fillId="14" borderId="5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0" applyFont="1" applyBorder="1" applyAlignment="1">
      <alignment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1" fillId="0" borderId="23" xfId="0" applyFont="1" applyBorder="1" applyAlignment="1">
      <alignment vertical="center" shrinkToFit="1"/>
    </xf>
    <xf numFmtId="0" fontId="1" fillId="0" borderId="0" xfId="0" applyFont="1" applyAlignment="1">
      <alignment horizontal="center" vertical="center"/>
    </xf>
    <xf numFmtId="0" fontId="1" fillId="14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" fillId="14" borderId="0" xfId="0" applyFont="1" applyFill="1" applyAlignment="1">
      <alignment vertical="center"/>
    </xf>
    <xf numFmtId="0" fontId="23" fillId="8" borderId="28" xfId="0" applyFont="1" applyFill="1" applyBorder="1" applyAlignment="1">
      <alignment horizontal="center" vertical="center"/>
    </xf>
    <xf numFmtId="0" fontId="23" fillId="8" borderId="30" xfId="0" applyFont="1" applyFill="1" applyBorder="1" applyAlignment="1">
      <alignment horizontal="center" vertical="center"/>
    </xf>
    <xf numFmtId="0" fontId="23" fillId="8" borderId="26" xfId="0" applyFont="1" applyFill="1" applyBorder="1" applyAlignment="1">
      <alignment horizontal="center" vertical="center"/>
    </xf>
    <xf numFmtId="0" fontId="23" fillId="8" borderId="27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 shrinkToFit="1"/>
    </xf>
    <xf numFmtId="0" fontId="8" fillId="7" borderId="0" xfId="0" applyFont="1" applyFill="1" applyBorder="1" applyAlignment="1">
      <alignment horizontal="center" vertical="center" shrinkToFit="1"/>
    </xf>
    <xf numFmtId="0" fontId="8" fillId="7" borderId="32" xfId="0" applyFont="1" applyFill="1" applyBorder="1" applyAlignment="1">
      <alignment horizontal="center" vertical="center" shrinkToFit="1"/>
    </xf>
    <xf numFmtId="0" fontId="8" fillId="9" borderId="31" xfId="0" applyFont="1" applyFill="1" applyBorder="1" applyAlignment="1">
      <alignment horizontal="center" vertical="center" shrinkToFit="1"/>
    </xf>
    <xf numFmtId="0" fontId="8" fillId="9" borderId="0" xfId="0" applyFont="1" applyFill="1" applyBorder="1" applyAlignment="1">
      <alignment horizontal="center" vertical="center" shrinkToFit="1"/>
    </xf>
    <xf numFmtId="0" fontId="8" fillId="9" borderId="32" xfId="0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1" fillId="9" borderId="24" xfId="0" applyFont="1" applyFill="1" applyBorder="1" applyAlignment="1">
      <alignment horizontal="center" vertical="center"/>
    </xf>
    <xf numFmtId="0" fontId="1" fillId="9" borderId="25" xfId="0" applyFont="1" applyFill="1" applyBorder="1" applyAlignment="1">
      <alignment horizontal="center" vertical="center"/>
    </xf>
    <xf numFmtId="0" fontId="1" fillId="11" borderId="24" xfId="0" applyFont="1" applyFill="1" applyBorder="1" applyAlignment="1">
      <alignment horizontal="center" vertical="center"/>
    </xf>
    <xf numFmtId="0" fontId="1" fillId="11" borderId="25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17" borderId="59" xfId="0" applyFill="1" applyBorder="1" applyAlignment="1">
      <alignment horizontal="center" vertical="center"/>
    </xf>
    <xf numFmtId="0" fontId="0" fillId="17" borderId="25" xfId="0" applyFill="1" applyBorder="1" applyAlignment="1">
      <alignment horizontal="center" vertical="center"/>
    </xf>
    <xf numFmtId="0" fontId="0" fillId="17" borderId="0" xfId="0" applyFill="1" applyBorder="1" applyAlignment="1">
      <alignment horizontal="center" vertical="center"/>
    </xf>
    <xf numFmtId="0" fontId="0" fillId="17" borderId="24" xfId="0" applyFill="1" applyBorder="1" applyAlignment="1">
      <alignment horizontal="center" vertical="center"/>
    </xf>
    <xf numFmtId="0" fontId="0" fillId="17" borderId="73" xfId="0" applyFill="1" applyBorder="1" applyAlignment="1">
      <alignment horizontal="center" vertical="center"/>
    </xf>
    <xf numFmtId="0" fontId="0" fillId="0" borderId="94" xfId="0" applyBorder="1" applyAlignment="1">
      <alignment vertical="center"/>
    </xf>
    <xf numFmtId="0" fontId="0" fillId="0" borderId="95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17" borderId="17" xfId="0" applyFill="1" applyBorder="1" applyAlignment="1">
      <alignment horizontal="center" vertical="center"/>
    </xf>
    <xf numFmtId="0" fontId="0" fillId="17" borderId="27" xfId="0" applyFill="1" applyBorder="1" applyAlignment="1">
      <alignment horizontal="center" vertical="center"/>
    </xf>
    <xf numFmtId="0" fontId="0" fillId="17" borderId="26" xfId="0" applyFill="1" applyBorder="1" applyAlignment="1">
      <alignment horizontal="center" vertical="center"/>
    </xf>
    <xf numFmtId="0" fontId="0" fillId="17" borderId="18" xfId="0" applyFill="1" applyBorder="1" applyAlignment="1">
      <alignment horizontal="center" vertical="center"/>
    </xf>
    <xf numFmtId="0" fontId="26" fillId="6" borderId="86" xfId="0" applyFont="1" applyFill="1" applyBorder="1" applyAlignment="1">
      <alignment horizontal="center" vertical="center"/>
    </xf>
    <xf numFmtId="0" fontId="26" fillId="6" borderId="88" xfId="0" applyFont="1" applyFill="1" applyBorder="1" applyAlignment="1">
      <alignment horizontal="center" vertical="center"/>
    </xf>
    <xf numFmtId="0" fontId="0" fillId="6" borderId="89" xfId="0" applyFill="1" applyBorder="1" applyAlignment="1">
      <alignment horizontal="center" vertical="center"/>
    </xf>
    <xf numFmtId="0" fontId="0" fillId="6" borderId="75" xfId="0" applyFill="1" applyBorder="1" applyAlignment="1">
      <alignment horizontal="center" vertical="center"/>
    </xf>
    <xf numFmtId="0" fontId="0" fillId="6" borderId="48" xfId="0" applyFill="1" applyBorder="1" applyAlignment="1">
      <alignment horizontal="center" vertical="center"/>
    </xf>
    <xf numFmtId="0" fontId="0" fillId="6" borderId="8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8" borderId="24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17" borderId="22" xfId="0" applyFill="1" applyBorder="1" applyAlignment="1">
      <alignment horizontal="center" vertical="center"/>
    </xf>
    <xf numFmtId="0" fontId="0" fillId="20" borderId="22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19" borderId="22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20" borderId="21" xfId="0" applyFill="1" applyBorder="1" applyAlignment="1">
      <alignment horizontal="center" vertical="center"/>
    </xf>
    <xf numFmtId="0" fontId="0" fillId="20" borderId="27" xfId="0" applyFill="1" applyBorder="1" applyAlignment="1">
      <alignment horizontal="center" vertical="center"/>
    </xf>
    <xf numFmtId="0" fontId="0" fillId="18" borderId="25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19" borderId="2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9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9" borderId="26" xfId="0" applyFont="1" applyFill="1" applyBorder="1" applyAlignment="1">
      <alignment horizontal="center" vertical="center" wrapText="1" shrinkToFit="1"/>
    </xf>
    <xf numFmtId="0" fontId="8" fillId="9" borderId="21" xfId="0" applyFont="1" applyFill="1" applyBorder="1" applyAlignment="1">
      <alignment horizontal="center" vertical="center" shrinkToFit="1"/>
    </xf>
    <xf numFmtId="0" fontId="8" fillId="9" borderId="27" xfId="0" applyFont="1" applyFill="1" applyBorder="1" applyAlignment="1">
      <alignment horizontal="center" vertical="center" shrinkToFit="1"/>
    </xf>
    <xf numFmtId="0" fontId="8" fillId="8" borderId="31" xfId="0" applyFont="1" applyFill="1" applyBorder="1" applyAlignment="1">
      <alignment horizontal="center" vertical="center" shrinkToFit="1"/>
    </xf>
    <xf numFmtId="0" fontId="8" fillId="8" borderId="0" xfId="0" applyFont="1" applyFill="1" applyBorder="1" applyAlignment="1">
      <alignment horizontal="center" vertical="center" shrinkToFit="1"/>
    </xf>
    <xf numFmtId="0" fontId="8" fillId="8" borderId="32" xfId="0" applyFont="1" applyFill="1" applyBorder="1" applyAlignment="1">
      <alignment horizontal="center" vertical="center" shrinkToFit="1"/>
    </xf>
    <xf numFmtId="0" fontId="11" fillId="7" borderId="26" xfId="0" applyFont="1" applyFill="1" applyBorder="1" applyAlignment="1">
      <alignment horizontal="center" vertical="center" wrapText="1" shrinkToFit="1"/>
    </xf>
    <xf numFmtId="0" fontId="8" fillId="7" borderId="21" xfId="0" applyFont="1" applyFill="1" applyBorder="1" applyAlignment="1">
      <alignment horizontal="center" vertical="center" shrinkToFit="1"/>
    </xf>
    <xf numFmtId="0" fontId="8" fillId="7" borderId="27" xfId="0" applyFont="1" applyFill="1" applyBorder="1" applyAlignment="1">
      <alignment horizontal="center" vertical="center" shrinkToFit="1"/>
    </xf>
    <xf numFmtId="0" fontId="11" fillId="8" borderId="26" xfId="0" applyFont="1" applyFill="1" applyBorder="1" applyAlignment="1">
      <alignment horizontal="center" vertical="center" wrapText="1" shrinkToFit="1"/>
    </xf>
    <xf numFmtId="0" fontId="8" fillId="8" borderId="21" xfId="0" applyFont="1" applyFill="1" applyBorder="1" applyAlignment="1">
      <alignment horizontal="center" vertical="center" shrinkToFit="1"/>
    </xf>
    <xf numFmtId="0" fontId="8" fillId="8" borderId="27" xfId="0" applyFont="1" applyFill="1" applyBorder="1" applyAlignment="1">
      <alignment horizontal="center" vertical="center" shrinkToFit="1"/>
    </xf>
    <xf numFmtId="0" fontId="8" fillId="0" borderId="45" xfId="0" applyFont="1" applyBorder="1" applyAlignment="1">
      <alignment horizontal="center" vertical="center" shrinkToFit="1"/>
    </xf>
    <xf numFmtId="0" fontId="8" fillId="0" borderId="46" xfId="0" applyFont="1" applyBorder="1" applyAlignment="1">
      <alignment horizontal="center" vertical="center" shrinkToFit="1"/>
    </xf>
    <xf numFmtId="0" fontId="8" fillId="0" borderId="47" xfId="0" applyFont="1" applyBorder="1" applyAlignment="1">
      <alignment horizontal="center" vertical="center" shrinkToFit="1"/>
    </xf>
    <xf numFmtId="0" fontId="11" fillId="12" borderId="26" xfId="0" applyFont="1" applyFill="1" applyBorder="1" applyAlignment="1">
      <alignment horizontal="center" vertical="center" wrapText="1" shrinkToFit="1"/>
    </xf>
    <xf numFmtId="0" fontId="8" fillId="12" borderId="21" xfId="0" applyFont="1" applyFill="1" applyBorder="1" applyAlignment="1">
      <alignment horizontal="center" vertical="center" shrinkToFit="1"/>
    </xf>
    <xf numFmtId="0" fontId="8" fillId="12" borderId="27" xfId="0" applyFont="1" applyFill="1" applyBorder="1" applyAlignment="1">
      <alignment horizontal="center" vertical="center" shrinkToFit="1"/>
    </xf>
    <xf numFmtId="0" fontId="11" fillId="11" borderId="26" xfId="0" applyFont="1" applyFill="1" applyBorder="1" applyAlignment="1">
      <alignment horizontal="center" vertical="center" wrapText="1" shrinkToFit="1"/>
    </xf>
    <xf numFmtId="0" fontId="8" fillId="11" borderId="21" xfId="0" applyFont="1" applyFill="1" applyBorder="1" applyAlignment="1">
      <alignment horizontal="center" vertical="center" shrinkToFit="1"/>
    </xf>
    <xf numFmtId="0" fontId="8" fillId="11" borderId="27" xfId="0" applyFont="1" applyFill="1" applyBorder="1" applyAlignment="1">
      <alignment horizontal="center" vertical="center" shrinkToFit="1"/>
    </xf>
    <xf numFmtId="0" fontId="11" fillId="10" borderId="26" xfId="0" applyFont="1" applyFill="1" applyBorder="1" applyAlignment="1">
      <alignment horizontal="center" vertical="center" wrapText="1" shrinkToFit="1"/>
    </xf>
    <xf numFmtId="0" fontId="8" fillId="10" borderId="21" xfId="0" applyFont="1" applyFill="1" applyBorder="1" applyAlignment="1">
      <alignment horizontal="center" vertical="center" shrinkToFit="1"/>
    </xf>
    <xf numFmtId="0" fontId="8" fillId="10" borderId="27" xfId="0" applyFont="1" applyFill="1" applyBorder="1" applyAlignment="1">
      <alignment horizontal="center" vertical="center" shrinkToFit="1"/>
    </xf>
    <xf numFmtId="0" fontId="25" fillId="11" borderId="26" xfId="0" applyFont="1" applyFill="1" applyBorder="1" applyAlignment="1">
      <alignment horizontal="center" vertical="center" wrapText="1" shrinkToFit="1"/>
    </xf>
    <xf numFmtId="0" fontId="8" fillId="6" borderId="26" xfId="0" applyFont="1" applyFill="1" applyBorder="1" applyAlignment="1">
      <alignment horizontal="center" vertical="center" wrapText="1" shrinkToFit="1"/>
    </xf>
    <xf numFmtId="0" fontId="8" fillId="6" borderId="21" xfId="0" applyFont="1" applyFill="1" applyBorder="1" applyAlignment="1">
      <alignment horizontal="center" vertical="center" shrinkToFit="1"/>
    </xf>
    <xf numFmtId="0" fontId="8" fillId="6" borderId="27" xfId="0" applyFont="1" applyFill="1" applyBorder="1" applyAlignment="1">
      <alignment horizontal="center" vertical="center" shrinkToFit="1"/>
    </xf>
    <xf numFmtId="0" fontId="11" fillId="6" borderId="26" xfId="0" applyFont="1" applyFill="1" applyBorder="1" applyAlignment="1">
      <alignment horizontal="center" vertical="center" wrapText="1" shrinkToFit="1"/>
    </xf>
    <xf numFmtId="0" fontId="8" fillId="12" borderId="26" xfId="0" applyFont="1" applyFill="1" applyBorder="1" applyAlignment="1">
      <alignment horizontal="center" vertical="center" shrinkToFit="1"/>
    </xf>
    <xf numFmtId="0" fontId="25" fillId="12" borderId="26" xfId="0" applyFont="1" applyFill="1" applyBorder="1" applyAlignment="1">
      <alignment horizontal="center" vertical="center" wrapText="1" shrinkToFit="1"/>
    </xf>
    <xf numFmtId="0" fontId="8" fillId="9" borderId="26" xfId="0" applyFont="1" applyFill="1" applyBorder="1" applyAlignment="1">
      <alignment horizontal="center" vertical="center" wrapText="1" shrinkToFit="1"/>
    </xf>
    <xf numFmtId="0" fontId="8" fillId="8" borderId="26" xfId="0" applyFont="1" applyFill="1" applyBorder="1" applyAlignment="1">
      <alignment horizontal="center" vertical="center" wrapText="1" shrinkToFit="1"/>
    </xf>
    <xf numFmtId="0" fontId="8" fillId="11" borderId="26" xfId="0" applyFont="1" applyFill="1" applyBorder="1" applyAlignment="1">
      <alignment horizontal="center" vertical="center" wrapText="1" shrinkToFit="1"/>
    </xf>
    <xf numFmtId="0" fontId="8" fillId="10" borderId="26" xfId="0" applyFont="1" applyFill="1" applyBorder="1" applyAlignment="1">
      <alignment horizontal="center" vertical="center" wrapText="1" shrinkToFit="1"/>
    </xf>
    <xf numFmtId="0" fontId="14" fillId="12" borderId="26" xfId="0" applyFont="1" applyFill="1" applyBorder="1" applyAlignment="1">
      <alignment horizontal="center" vertical="center" wrapText="1" shrinkToFit="1"/>
    </xf>
    <xf numFmtId="0" fontId="8" fillId="12" borderId="26" xfId="0" applyFont="1" applyFill="1" applyBorder="1" applyAlignment="1">
      <alignment horizontal="center" vertical="center" wrapText="1" shrinkToFit="1"/>
    </xf>
    <xf numFmtId="0" fontId="8" fillId="7" borderId="26" xfId="0" applyFont="1" applyFill="1" applyBorder="1" applyAlignment="1">
      <alignment horizontal="center" vertical="center" wrapText="1" shrinkToFit="1"/>
    </xf>
    <xf numFmtId="0" fontId="14" fillId="11" borderId="26" xfId="0" applyFont="1" applyFill="1" applyBorder="1" applyAlignment="1">
      <alignment horizontal="center" vertical="center" wrapText="1" shrinkToFit="1"/>
    </xf>
    <xf numFmtId="0" fontId="11" fillId="11" borderId="26" xfId="0" applyFont="1" applyFill="1" applyBorder="1" applyAlignment="1">
      <alignment horizontal="center" vertical="center" shrinkToFit="1"/>
    </xf>
    <xf numFmtId="0" fontId="14" fillId="12" borderId="26" xfId="0" applyFont="1" applyFill="1" applyBorder="1" applyAlignment="1">
      <alignment horizontal="center" vertical="center" shrinkToFit="1"/>
    </xf>
    <xf numFmtId="0" fontId="11" fillId="8" borderId="26" xfId="0" applyFont="1" applyFill="1" applyBorder="1" applyAlignment="1">
      <alignment horizontal="center" vertical="center" shrinkToFit="1"/>
    </xf>
    <xf numFmtId="0" fontId="11" fillId="9" borderId="26" xfId="0" applyFont="1" applyFill="1" applyBorder="1" applyAlignment="1">
      <alignment horizontal="center" vertical="center" shrinkToFit="1"/>
    </xf>
    <xf numFmtId="0" fontId="11" fillId="6" borderId="26" xfId="0" applyFont="1" applyFill="1" applyBorder="1" applyAlignment="1">
      <alignment horizontal="center" vertical="center" shrinkToFit="1"/>
    </xf>
    <xf numFmtId="0" fontId="8" fillId="9" borderId="31" xfId="0" applyFont="1" applyFill="1" applyBorder="1" applyAlignment="1">
      <alignment horizontal="center" vertical="center" shrinkToFit="1"/>
    </xf>
    <xf numFmtId="0" fontId="8" fillId="9" borderId="0" xfId="0" applyFont="1" applyFill="1" applyBorder="1" applyAlignment="1">
      <alignment horizontal="center" vertical="center" shrinkToFit="1"/>
    </xf>
    <xf numFmtId="0" fontId="8" fillId="9" borderId="32" xfId="0" applyFont="1" applyFill="1" applyBorder="1" applyAlignment="1">
      <alignment horizontal="center" vertical="center" shrinkToFit="1"/>
    </xf>
    <xf numFmtId="0" fontId="11" fillId="7" borderId="26" xfId="0" applyFont="1" applyFill="1" applyBorder="1" applyAlignment="1">
      <alignment horizontal="center" vertical="center" shrinkToFit="1"/>
    </xf>
    <xf numFmtId="0" fontId="8" fillId="9" borderId="26" xfId="0" applyFont="1" applyFill="1" applyBorder="1" applyAlignment="1">
      <alignment horizontal="center" vertical="center" shrinkToFit="1"/>
    </xf>
    <xf numFmtId="0" fontId="8" fillId="6" borderId="26" xfId="0" applyFont="1" applyFill="1" applyBorder="1" applyAlignment="1">
      <alignment horizontal="center" vertical="center" shrinkToFit="1"/>
    </xf>
    <xf numFmtId="0" fontId="8" fillId="10" borderId="26" xfId="0" applyFont="1" applyFill="1" applyBorder="1" applyAlignment="1">
      <alignment horizontal="center" vertical="center" shrinkToFit="1"/>
    </xf>
    <xf numFmtId="0" fontId="8" fillId="8" borderId="26" xfId="0" applyFont="1" applyFill="1" applyBorder="1" applyAlignment="1">
      <alignment horizontal="center" vertical="center" shrinkToFit="1"/>
    </xf>
    <xf numFmtId="0" fontId="8" fillId="7" borderId="26" xfId="0" applyFont="1" applyFill="1" applyBorder="1" applyAlignment="1">
      <alignment horizontal="center" vertical="center" shrinkToFit="1"/>
    </xf>
    <xf numFmtId="0" fontId="11" fillId="10" borderId="26" xfId="0" applyFont="1" applyFill="1" applyBorder="1" applyAlignment="1">
      <alignment horizontal="center" vertical="center" shrinkToFit="1"/>
    </xf>
    <xf numFmtId="0" fontId="8" fillId="7" borderId="31" xfId="0" applyFont="1" applyFill="1" applyBorder="1" applyAlignment="1">
      <alignment horizontal="center" vertical="center" shrinkToFit="1"/>
    </xf>
    <xf numFmtId="0" fontId="8" fillId="7" borderId="0" xfId="0" applyFont="1" applyFill="1" applyBorder="1" applyAlignment="1">
      <alignment horizontal="center" vertical="center" shrinkToFit="1"/>
    </xf>
    <xf numFmtId="0" fontId="8" fillId="7" borderId="32" xfId="0" applyFont="1" applyFill="1" applyBorder="1" applyAlignment="1">
      <alignment horizontal="center" vertical="center" shrinkToFit="1"/>
    </xf>
    <xf numFmtId="0" fontId="14" fillId="11" borderId="26" xfId="0" applyFont="1" applyFill="1" applyBorder="1" applyAlignment="1">
      <alignment horizontal="center" vertical="center" shrinkToFit="1"/>
    </xf>
    <xf numFmtId="0" fontId="11" fillId="12" borderId="26" xfId="0" applyFont="1" applyFill="1" applyBorder="1" applyAlignment="1">
      <alignment horizontal="center" vertical="center" shrinkToFit="1"/>
    </xf>
    <xf numFmtId="0" fontId="8" fillId="11" borderId="26" xfId="0" applyFont="1" applyFill="1" applyBorder="1" applyAlignment="1">
      <alignment horizontal="center" vertical="center" shrinkToFit="1"/>
    </xf>
    <xf numFmtId="0" fontId="11" fillId="7" borderId="0" xfId="0" applyFont="1" applyFill="1" applyBorder="1" applyAlignment="1">
      <alignment horizontal="center" vertical="center" shrinkToFit="1"/>
    </xf>
    <xf numFmtId="0" fontId="11" fillId="7" borderId="32" xfId="0" applyFont="1" applyFill="1" applyBorder="1" applyAlignment="1">
      <alignment horizontal="center" vertical="center" shrinkToFit="1"/>
    </xf>
    <xf numFmtId="0" fontId="0" fillId="0" borderId="93" xfId="0" applyBorder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27" fillId="0" borderId="96" xfId="0" applyFont="1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33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1" fillId="0" borderId="34" xfId="0" quotePrefix="1" applyFont="1" applyFill="1" applyBorder="1" applyAlignment="1">
      <alignment horizontal="center" vertical="center"/>
    </xf>
    <xf numFmtId="0" fontId="1" fillId="0" borderId="37" xfId="0" quotePrefix="1" applyFont="1" applyFill="1" applyBorder="1" applyAlignment="1">
      <alignment horizontal="center" vertical="center"/>
    </xf>
    <xf numFmtId="0" fontId="6" fillId="0" borderId="34" xfId="0" applyFont="1" applyFill="1" applyBorder="1" applyAlignment="1">
      <alignment horizontal="center" vertical="center"/>
    </xf>
    <xf numFmtId="0" fontId="6" fillId="0" borderId="3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25" xfId="0" applyFont="1" applyFill="1" applyBorder="1" applyAlignment="1">
      <alignment horizontal="center" vertical="center"/>
    </xf>
    <xf numFmtId="0" fontId="6" fillId="0" borderId="35" xfId="0" applyFont="1" applyFill="1" applyBorder="1" applyAlignment="1">
      <alignment horizontal="center" vertical="center"/>
    </xf>
    <xf numFmtId="0" fontId="6" fillId="0" borderId="38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7" fillId="3" borderId="41" xfId="0" applyFont="1" applyFill="1" applyBorder="1" applyAlignment="1">
      <alignment vertical="center"/>
    </xf>
    <xf numFmtId="0" fontId="1" fillId="3" borderId="42" xfId="0" applyFont="1" applyFill="1" applyBorder="1" applyAlignment="1">
      <alignment vertical="center"/>
    </xf>
    <xf numFmtId="0" fontId="1" fillId="3" borderId="47" xfId="0" applyFont="1" applyFill="1" applyBorder="1" applyAlignment="1">
      <alignment vertical="center"/>
    </xf>
    <xf numFmtId="0" fontId="8" fillId="5" borderId="24" xfId="0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vertical="center"/>
    </xf>
    <xf numFmtId="0" fontId="8" fillId="3" borderId="86" xfId="0" applyFont="1" applyFill="1" applyBorder="1" applyAlignment="1">
      <alignment horizontal="center" vertical="center"/>
    </xf>
    <xf numFmtId="0" fontId="8" fillId="3" borderId="87" xfId="0" applyFont="1" applyFill="1" applyBorder="1" applyAlignment="1">
      <alignment horizontal="center" vertical="center"/>
    </xf>
    <xf numFmtId="0" fontId="8" fillId="3" borderId="75" xfId="0" applyFont="1" applyFill="1" applyBorder="1" applyAlignment="1">
      <alignment horizontal="center" vertical="center"/>
    </xf>
    <xf numFmtId="0" fontId="1" fillId="14" borderId="0" xfId="0" applyFont="1" applyFill="1" applyBorder="1" applyAlignment="1">
      <alignment horizontal="center" vertical="center"/>
    </xf>
    <xf numFmtId="0" fontId="1" fillId="14" borderId="55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15" borderId="28" xfId="0" applyFont="1" applyFill="1" applyBorder="1" applyAlignment="1">
      <alignment horizontal="center" vertical="center"/>
    </xf>
    <xf numFmtId="0" fontId="1" fillId="15" borderId="30" xfId="0" applyFont="1" applyFill="1" applyBorder="1" applyAlignment="1">
      <alignment horizontal="center" vertical="center"/>
    </xf>
    <xf numFmtId="0" fontId="1" fillId="15" borderId="26" xfId="0" applyFont="1" applyFill="1" applyBorder="1" applyAlignment="1">
      <alignment horizontal="center" vertical="center"/>
    </xf>
    <xf numFmtId="0" fontId="1" fillId="15" borderId="27" xfId="0" applyFont="1" applyFill="1" applyBorder="1" applyAlignment="1">
      <alignment horizontal="center" vertical="center"/>
    </xf>
    <xf numFmtId="0" fontId="23" fillId="16" borderId="28" xfId="0" applyFont="1" applyFill="1" applyBorder="1" applyAlignment="1">
      <alignment horizontal="center" vertical="center"/>
    </xf>
    <xf numFmtId="0" fontId="23" fillId="16" borderId="30" xfId="0" applyFont="1" applyFill="1" applyBorder="1" applyAlignment="1">
      <alignment horizontal="center" vertical="center"/>
    </xf>
    <xf numFmtId="0" fontId="23" fillId="16" borderId="26" xfId="0" applyFont="1" applyFill="1" applyBorder="1" applyAlignment="1">
      <alignment horizontal="center" vertical="center"/>
    </xf>
    <xf numFmtId="0" fontId="23" fillId="16" borderId="27" xfId="0" applyFont="1" applyFill="1" applyBorder="1" applyAlignment="1">
      <alignment horizontal="center" vertical="center"/>
    </xf>
    <xf numFmtId="0" fontId="22" fillId="16" borderId="28" xfId="0" applyFont="1" applyFill="1" applyBorder="1" applyAlignment="1">
      <alignment horizontal="center" vertical="center"/>
    </xf>
    <xf numFmtId="0" fontId="22" fillId="16" borderId="30" xfId="0" applyFont="1" applyFill="1" applyBorder="1" applyAlignment="1">
      <alignment horizontal="center" vertical="center"/>
    </xf>
    <xf numFmtId="0" fontId="22" fillId="16" borderId="26" xfId="0" applyFont="1" applyFill="1" applyBorder="1" applyAlignment="1">
      <alignment horizontal="center" vertical="center"/>
    </xf>
    <xf numFmtId="0" fontId="22" fillId="16" borderId="27" xfId="0" applyFont="1" applyFill="1" applyBorder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0" fontId="21" fillId="8" borderId="30" xfId="0" applyFont="1" applyFill="1" applyBorder="1" applyAlignment="1">
      <alignment horizontal="center" vertical="center"/>
    </xf>
    <xf numFmtId="0" fontId="21" fillId="8" borderId="26" xfId="0" applyFont="1" applyFill="1" applyBorder="1" applyAlignment="1">
      <alignment horizontal="center" vertical="center"/>
    </xf>
    <xf numFmtId="0" fontId="21" fillId="8" borderId="27" xfId="0" applyFont="1" applyFill="1" applyBorder="1" applyAlignment="1">
      <alignment horizontal="center" vertical="center"/>
    </xf>
    <xf numFmtId="0" fontId="15" fillId="15" borderId="28" xfId="0" applyFont="1" applyFill="1" applyBorder="1" applyAlignment="1">
      <alignment horizontal="center" vertical="center"/>
    </xf>
    <xf numFmtId="0" fontId="15" fillId="5" borderId="0" xfId="0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center" vertical="center"/>
    </xf>
    <xf numFmtId="0" fontId="20" fillId="5" borderId="0" xfId="0" applyFont="1" applyFill="1" applyBorder="1" applyAlignment="1">
      <alignment horizontal="center" vertical="center"/>
    </xf>
    <xf numFmtId="0" fontId="24" fillId="5" borderId="0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8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0" fontId="29" fillId="0" borderId="0" xfId="1" applyFont="1" applyAlignment="1">
      <alignment vertical="center"/>
    </xf>
    <xf numFmtId="0" fontId="28" fillId="0" borderId="0" xfId="0" applyFont="1" applyAlignment="1">
      <alignment vertical="center"/>
    </xf>
  </cellXfs>
  <cellStyles count="2">
    <cellStyle name="ハイパーリンク" xfId="1" builtinId="8"/>
    <cellStyle name="標準" xfId="0" builtinId="0"/>
  </cellStyles>
  <dxfs count="306"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369794</xdr:colOff>
      <xdr:row>1</xdr:row>
      <xdr:rowOff>257737</xdr:rowOff>
    </xdr:from>
    <xdr:ext cx="4403911" cy="1508618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D609594-CF24-4C48-8DB2-E2BB8CD31760}"/>
            </a:ext>
          </a:extLst>
        </xdr:cNvPr>
        <xdr:cNvSpPr txBox="1"/>
      </xdr:nvSpPr>
      <xdr:spPr>
        <a:xfrm>
          <a:off x="7227794" y="862855"/>
          <a:ext cx="4403911" cy="15086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6600"/>
            <a:t>元素周期表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224988</xdr:rowOff>
    </xdr:from>
    <xdr:to>
      <xdr:col>6</xdr:col>
      <xdr:colOff>0</xdr:colOff>
      <xdr:row>4</xdr:row>
      <xdr:rowOff>224988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711C1A71-45D4-4A67-925A-38ADB01DB970}"/>
            </a:ext>
          </a:extLst>
        </xdr:cNvPr>
        <xdr:cNvCxnSpPr/>
      </xdr:nvCxnSpPr>
      <xdr:spPr>
        <a:xfrm>
          <a:off x="1752241" y="1447063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754</xdr:colOff>
      <xdr:row>5</xdr:row>
      <xdr:rowOff>9732</xdr:rowOff>
    </xdr:from>
    <xdr:to>
      <xdr:col>51</xdr:col>
      <xdr:colOff>754</xdr:colOff>
      <xdr:row>5</xdr:row>
      <xdr:rowOff>9732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493FA74A-7E22-4C97-84A7-7DAC4ED230B8}"/>
            </a:ext>
          </a:extLst>
        </xdr:cNvPr>
        <xdr:cNvCxnSpPr/>
      </xdr:nvCxnSpPr>
      <xdr:spPr>
        <a:xfrm>
          <a:off x="10163749" y="1537326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13052</xdr:colOff>
      <xdr:row>5</xdr:row>
      <xdr:rowOff>127595</xdr:rowOff>
    </xdr:from>
    <xdr:to>
      <xdr:col>6</xdr:col>
      <xdr:colOff>13052</xdr:colOff>
      <xdr:row>5</xdr:row>
      <xdr:rowOff>127595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AA54C0E7-CA25-4CB0-9C15-DE14AA334A71}"/>
            </a:ext>
          </a:extLst>
        </xdr:cNvPr>
        <xdr:cNvCxnSpPr/>
      </xdr:nvCxnSpPr>
      <xdr:spPr>
        <a:xfrm>
          <a:off x="1765293" y="1664175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</xdr:row>
      <xdr:rowOff>223630</xdr:rowOff>
    </xdr:from>
    <xdr:to>
      <xdr:col>3</xdr:col>
      <xdr:colOff>0</xdr:colOff>
      <xdr:row>4</xdr:row>
      <xdr:rowOff>223630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690BDA72-7CD5-410A-9E23-0A59055E9EFC}"/>
            </a:ext>
          </a:extLst>
        </xdr:cNvPr>
        <xdr:cNvCxnSpPr/>
      </xdr:nvCxnSpPr>
      <xdr:spPr>
        <a:xfrm>
          <a:off x="712305" y="1449456"/>
          <a:ext cx="356152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3314</xdr:colOff>
      <xdr:row>5</xdr:row>
      <xdr:rowOff>135834</xdr:rowOff>
    </xdr:from>
    <xdr:to>
      <xdr:col>3</xdr:col>
      <xdr:colOff>3313</xdr:colOff>
      <xdr:row>5</xdr:row>
      <xdr:rowOff>135834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E3F30859-08F0-4296-82C8-1F0AC50442AA}"/>
            </a:ext>
          </a:extLst>
        </xdr:cNvPr>
        <xdr:cNvCxnSpPr/>
      </xdr:nvCxnSpPr>
      <xdr:spPr>
        <a:xfrm>
          <a:off x="715618" y="1676399"/>
          <a:ext cx="356152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3314</xdr:colOff>
      <xdr:row>4</xdr:row>
      <xdr:rowOff>218661</xdr:rowOff>
    </xdr:from>
    <xdr:to>
      <xdr:col>9</xdr:col>
      <xdr:colOff>3313</xdr:colOff>
      <xdr:row>4</xdr:row>
      <xdr:rowOff>218661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1E0670C5-84C7-4702-9843-A72150D8789B}"/>
            </a:ext>
          </a:extLst>
        </xdr:cNvPr>
        <xdr:cNvCxnSpPr/>
      </xdr:nvCxnSpPr>
      <xdr:spPr>
        <a:xfrm>
          <a:off x="2852531" y="1444487"/>
          <a:ext cx="356152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6627</xdr:colOff>
      <xdr:row>5</xdr:row>
      <xdr:rowOff>130865</xdr:rowOff>
    </xdr:from>
    <xdr:to>
      <xdr:col>9</xdr:col>
      <xdr:colOff>6626</xdr:colOff>
      <xdr:row>5</xdr:row>
      <xdr:rowOff>130865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6AA15B54-9FD2-4426-A719-FD7DC81A6DB5}"/>
            </a:ext>
          </a:extLst>
        </xdr:cNvPr>
        <xdr:cNvCxnSpPr/>
      </xdr:nvCxnSpPr>
      <xdr:spPr>
        <a:xfrm>
          <a:off x="2855844" y="1671430"/>
          <a:ext cx="356152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8985</xdr:colOff>
      <xdr:row>4</xdr:row>
      <xdr:rowOff>206675</xdr:rowOff>
    </xdr:from>
    <xdr:to>
      <xdr:col>18</xdr:col>
      <xdr:colOff>8985</xdr:colOff>
      <xdr:row>4</xdr:row>
      <xdr:rowOff>206675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65BF78D2-B898-4B92-84E8-19898FF95814}"/>
            </a:ext>
          </a:extLst>
        </xdr:cNvPr>
        <xdr:cNvCxnSpPr/>
      </xdr:nvCxnSpPr>
      <xdr:spPr>
        <a:xfrm>
          <a:off x="4915259" y="1428750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22037</xdr:colOff>
      <xdr:row>5</xdr:row>
      <xdr:rowOff>109282</xdr:rowOff>
    </xdr:from>
    <xdr:to>
      <xdr:col>18</xdr:col>
      <xdr:colOff>22037</xdr:colOff>
      <xdr:row>5</xdr:row>
      <xdr:rowOff>109282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0AE923AA-2451-4B5D-9004-D522E822D9F3}"/>
            </a:ext>
          </a:extLst>
        </xdr:cNvPr>
        <xdr:cNvCxnSpPr/>
      </xdr:nvCxnSpPr>
      <xdr:spPr>
        <a:xfrm>
          <a:off x="4928311" y="1636876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17972</xdr:colOff>
      <xdr:row>4</xdr:row>
      <xdr:rowOff>206675</xdr:rowOff>
    </xdr:from>
    <xdr:to>
      <xdr:col>21</xdr:col>
      <xdr:colOff>17972</xdr:colOff>
      <xdr:row>4</xdr:row>
      <xdr:rowOff>206675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BA27A641-894F-44D5-BC15-900FCD797FD4}"/>
            </a:ext>
          </a:extLst>
        </xdr:cNvPr>
        <xdr:cNvCxnSpPr/>
      </xdr:nvCxnSpPr>
      <xdr:spPr>
        <a:xfrm>
          <a:off x="5975590" y="1428750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4067</xdr:colOff>
      <xdr:row>5</xdr:row>
      <xdr:rowOff>127253</xdr:rowOff>
    </xdr:from>
    <xdr:to>
      <xdr:col>21</xdr:col>
      <xdr:colOff>4067</xdr:colOff>
      <xdr:row>5</xdr:row>
      <xdr:rowOff>127253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F419E3A6-29FE-45DE-A79E-FB722C169D72}"/>
            </a:ext>
          </a:extLst>
        </xdr:cNvPr>
        <xdr:cNvCxnSpPr/>
      </xdr:nvCxnSpPr>
      <xdr:spPr>
        <a:xfrm>
          <a:off x="5961685" y="1654847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17972</xdr:colOff>
      <xdr:row>4</xdr:row>
      <xdr:rowOff>215661</xdr:rowOff>
    </xdr:from>
    <xdr:to>
      <xdr:col>24</xdr:col>
      <xdr:colOff>17972</xdr:colOff>
      <xdr:row>4</xdr:row>
      <xdr:rowOff>215661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E504D9F1-F0FC-4EB1-9B4C-20D42C665D21}"/>
            </a:ext>
          </a:extLst>
        </xdr:cNvPr>
        <xdr:cNvCxnSpPr/>
      </xdr:nvCxnSpPr>
      <xdr:spPr>
        <a:xfrm>
          <a:off x="7026934" y="1437736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4066</xdr:colOff>
      <xdr:row>5</xdr:row>
      <xdr:rowOff>118268</xdr:rowOff>
    </xdr:from>
    <xdr:to>
      <xdr:col>24</xdr:col>
      <xdr:colOff>4066</xdr:colOff>
      <xdr:row>5</xdr:row>
      <xdr:rowOff>118268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129B198F-201C-432A-B39E-4AE3136C81C0}"/>
            </a:ext>
          </a:extLst>
        </xdr:cNvPr>
        <xdr:cNvCxnSpPr/>
      </xdr:nvCxnSpPr>
      <xdr:spPr>
        <a:xfrm>
          <a:off x="7013028" y="1645862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18366</xdr:colOff>
      <xdr:row>5</xdr:row>
      <xdr:rowOff>9372</xdr:rowOff>
    </xdr:from>
    <xdr:to>
      <xdr:col>21</xdr:col>
      <xdr:colOff>18366</xdr:colOff>
      <xdr:row>5</xdr:row>
      <xdr:rowOff>9372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02505B8A-AC20-41FB-AB75-A9E354326A75}"/>
            </a:ext>
          </a:extLst>
        </xdr:cNvPr>
        <xdr:cNvCxnSpPr/>
      </xdr:nvCxnSpPr>
      <xdr:spPr>
        <a:xfrm>
          <a:off x="5975984" y="1536966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350089</xdr:colOff>
      <xdr:row>4</xdr:row>
      <xdr:rowOff>197330</xdr:rowOff>
    </xdr:from>
    <xdr:to>
      <xdr:col>50</xdr:col>
      <xdr:colOff>350089</xdr:colOff>
      <xdr:row>4</xdr:row>
      <xdr:rowOff>197330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1410D18E-3CD1-43F5-94C1-6937AB10AA39}"/>
            </a:ext>
          </a:extLst>
        </xdr:cNvPr>
        <xdr:cNvCxnSpPr/>
      </xdr:nvCxnSpPr>
      <xdr:spPr>
        <a:xfrm>
          <a:off x="10162636" y="1419405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21678</xdr:colOff>
      <xdr:row>5</xdr:row>
      <xdr:rowOff>117909</xdr:rowOff>
    </xdr:from>
    <xdr:to>
      <xdr:col>51</xdr:col>
      <xdr:colOff>21678</xdr:colOff>
      <xdr:row>5</xdr:row>
      <xdr:rowOff>117909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738E12AB-6C7E-4550-B840-679D38B58476}"/>
            </a:ext>
          </a:extLst>
        </xdr:cNvPr>
        <xdr:cNvCxnSpPr/>
      </xdr:nvCxnSpPr>
      <xdr:spPr>
        <a:xfrm>
          <a:off x="10184673" y="1645503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8267</xdr:colOff>
      <xdr:row>4</xdr:row>
      <xdr:rowOff>205956</xdr:rowOff>
    </xdr:from>
    <xdr:to>
      <xdr:col>48</xdr:col>
      <xdr:colOff>8267</xdr:colOff>
      <xdr:row>4</xdr:row>
      <xdr:rowOff>205956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A95D6EFF-7BBF-4771-9BC9-B59968395691}"/>
            </a:ext>
          </a:extLst>
        </xdr:cNvPr>
        <xdr:cNvCxnSpPr/>
      </xdr:nvCxnSpPr>
      <xdr:spPr>
        <a:xfrm>
          <a:off x="9119918" y="1428031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3347</xdr:colOff>
      <xdr:row>5</xdr:row>
      <xdr:rowOff>126535</xdr:rowOff>
    </xdr:from>
    <xdr:to>
      <xdr:col>48</xdr:col>
      <xdr:colOff>3347</xdr:colOff>
      <xdr:row>5</xdr:row>
      <xdr:rowOff>126535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81C63C0F-989A-44BE-B2C3-662D94873D0A}"/>
            </a:ext>
          </a:extLst>
        </xdr:cNvPr>
        <xdr:cNvCxnSpPr/>
      </xdr:nvCxnSpPr>
      <xdr:spPr>
        <a:xfrm>
          <a:off x="9114998" y="1654129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16893</xdr:colOff>
      <xdr:row>4</xdr:row>
      <xdr:rowOff>205597</xdr:rowOff>
    </xdr:from>
    <xdr:to>
      <xdr:col>54</xdr:col>
      <xdr:colOff>16893</xdr:colOff>
      <xdr:row>4</xdr:row>
      <xdr:rowOff>205597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160847D8-BBEB-48BF-8685-2A8FB720ED16}"/>
            </a:ext>
          </a:extLst>
        </xdr:cNvPr>
        <xdr:cNvCxnSpPr/>
      </xdr:nvCxnSpPr>
      <xdr:spPr>
        <a:xfrm>
          <a:off x="11231233" y="1427672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11973</xdr:colOff>
      <xdr:row>5</xdr:row>
      <xdr:rowOff>126176</xdr:rowOff>
    </xdr:from>
    <xdr:to>
      <xdr:col>54</xdr:col>
      <xdr:colOff>11973</xdr:colOff>
      <xdr:row>5</xdr:row>
      <xdr:rowOff>126176</xdr:rowOff>
    </xdr:to>
    <xdr:cxnSp macro="">
      <xdr:nvCxnSpPr>
        <xdr:cNvPr id="22" name="直線コネクタ 21">
          <a:extLst>
            <a:ext uri="{FF2B5EF4-FFF2-40B4-BE49-F238E27FC236}">
              <a16:creationId xmlns:a16="http://schemas.microsoft.com/office/drawing/2014/main" id="{850FEB0A-1B34-43CF-A9E3-268770E85875}"/>
            </a:ext>
          </a:extLst>
        </xdr:cNvPr>
        <xdr:cNvCxnSpPr/>
      </xdr:nvCxnSpPr>
      <xdr:spPr>
        <a:xfrm>
          <a:off x="11226313" y="1653770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395</xdr:colOff>
      <xdr:row>5</xdr:row>
      <xdr:rowOff>27344</xdr:rowOff>
    </xdr:from>
    <xdr:to>
      <xdr:col>33</xdr:col>
      <xdr:colOff>395</xdr:colOff>
      <xdr:row>5</xdr:row>
      <xdr:rowOff>27344</xdr:rowOff>
    </xdr:to>
    <xdr:cxnSp macro="">
      <xdr:nvCxnSpPr>
        <xdr:cNvPr id="23" name="直線コネクタ 22">
          <a:extLst>
            <a:ext uri="{FF2B5EF4-FFF2-40B4-BE49-F238E27FC236}">
              <a16:creationId xmlns:a16="http://schemas.microsoft.com/office/drawing/2014/main" id="{7FD85284-2EB7-4403-B650-70BF05D25E5E}"/>
            </a:ext>
          </a:extLst>
        </xdr:cNvPr>
        <xdr:cNvCxnSpPr/>
      </xdr:nvCxnSpPr>
      <xdr:spPr>
        <a:xfrm>
          <a:off x="13317423" y="1554938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349730</xdr:colOff>
      <xdr:row>4</xdr:row>
      <xdr:rowOff>214942</xdr:rowOff>
    </xdr:from>
    <xdr:to>
      <xdr:col>32</xdr:col>
      <xdr:colOff>349730</xdr:colOff>
      <xdr:row>4</xdr:row>
      <xdr:rowOff>214942</xdr:rowOff>
    </xdr:to>
    <xdr:cxnSp macro="">
      <xdr:nvCxnSpPr>
        <xdr:cNvPr id="24" name="直線コネクタ 23">
          <a:extLst>
            <a:ext uri="{FF2B5EF4-FFF2-40B4-BE49-F238E27FC236}">
              <a16:creationId xmlns:a16="http://schemas.microsoft.com/office/drawing/2014/main" id="{F83AB33F-FAA9-4533-9D19-C825A1D9F6BE}"/>
            </a:ext>
          </a:extLst>
        </xdr:cNvPr>
        <xdr:cNvCxnSpPr/>
      </xdr:nvCxnSpPr>
      <xdr:spPr>
        <a:xfrm>
          <a:off x="13316310" y="1437017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21319</xdr:colOff>
      <xdr:row>5</xdr:row>
      <xdr:rowOff>135521</xdr:rowOff>
    </xdr:from>
    <xdr:to>
      <xdr:col>33</xdr:col>
      <xdr:colOff>21319</xdr:colOff>
      <xdr:row>5</xdr:row>
      <xdr:rowOff>135521</xdr:rowOff>
    </xdr:to>
    <xdr:cxnSp macro="">
      <xdr:nvCxnSpPr>
        <xdr:cNvPr id="25" name="直線コネクタ 24">
          <a:extLst>
            <a:ext uri="{FF2B5EF4-FFF2-40B4-BE49-F238E27FC236}">
              <a16:creationId xmlns:a16="http://schemas.microsoft.com/office/drawing/2014/main" id="{C010332D-8769-43F6-B91A-82CCBDC23596}"/>
            </a:ext>
          </a:extLst>
        </xdr:cNvPr>
        <xdr:cNvCxnSpPr/>
      </xdr:nvCxnSpPr>
      <xdr:spPr>
        <a:xfrm>
          <a:off x="13338347" y="1663115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18007</xdr:colOff>
      <xdr:row>5</xdr:row>
      <xdr:rowOff>44956</xdr:rowOff>
    </xdr:from>
    <xdr:to>
      <xdr:col>36</xdr:col>
      <xdr:colOff>18007</xdr:colOff>
      <xdr:row>5</xdr:row>
      <xdr:rowOff>44956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8A5BDA5F-626D-4CEF-8CD1-E3C3EA2D26B3}"/>
            </a:ext>
          </a:extLst>
        </xdr:cNvPr>
        <xdr:cNvCxnSpPr/>
      </xdr:nvCxnSpPr>
      <xdr:spPr>
        <a:xfrm>
          <a:off x="14386380" y="1572550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16894</xdr:colOff>
      <xdr:row>4</xdr:row>
      <xdr:rowOff>232554</xdr:rowOff>
    </xdr:from>
    <xdr:to>
      <xdr:col>36</xdr:col>
      <xdr:colOff>16894</xdr:colOff>
      <xdr:row>4</xdr:row>
      <xdr:rowOff>232554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4298C719-A81C-4B23-8C66-303436B5CB07}"/>
            </a:ext>
          </a:extLst>
        </xdr:cNvPr>
        <xdr:cNvCxnSpPr/>
      </xdr:nvCxnSpPr>
      <xdr:spPr>
        <a:xfrm>
          <a:off x="14385267" y="1454629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11973</xdr:colOff>
      <xdr:row>5</xdr:row>
      <xdr:rowOff>153133</xdr:rowOff>
    </xdr:from>
    <xdr:to>
      <xdr:col>36</xdr:col>
      <xdr:colOff>11973</xdr:colOff>
      <xdr:row>5</xdr:row>
      <xdr:rowOff>153133</xdr:rowOff>
    </xdr:to>
    <xdr:cxnSp macro="">
      <xdr:nvCxnSpPr>
        <xdr:cNvPr id="28" name="直線コネクタ 27">
          <a:extLst>
            <a:ext uri="{FF2B5EF4-FFF2-40B4-BE49-F238E27FC236}">
              <a16:creationId xmlns:a16="http://schemas.microsoft.com/office/drawing/2014/main" id="{50B03C1F-0BDB-4E46-95AA-C8E846833509}"/>
            </a:ext>
          </a:extLst>
        </xdr:cNvPr>
        <xdr:cNvCxnSpPr/>
      </xdr:nvCxnSpPr>
      <xdr:spPr>
        <a:xfrm>
          <a:off x="14380346" y="1680727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8662</xdr:colOff>
      <xdr:row>5</xdr:row>
      <xdr:rowOff>35611</xdr:rowOff>
    </xdr:from>
    <xdr:to>
      <xdr:col>39</xdr:col>
      <xdr:colOff>8662</xdr:colOff>
      <xdr:row>5</xdr:row>
      <xdr:rowOff>35611</xdr:rowOff>
    </xdr:to>
    <xdr:cxnSp macro="">
      <xdr:nvCxnSpPr>
        <xdr:cNvPr id="29" name="直線コネクタ 28">
          <a:extLst>
            <a:ext uri="{FF2B5EF4-FFF2-40B4-BE49-F238E27FC236}">
              <a16:creationId xmlns:a16="http://schemas.microsoft.com/office/drawing/2014/main" id="{B879303B-91E9-401A-A300-8379F4CA7C17}"/>
            </a:ext>
          </a:extLst>
        </xdr:cNvPr>
        <xdr:cNvCxnSpPr/>
      </xdr:nvCxnSpPr>
      <xdr:spPr>
        <a:xfrm>
          <a:off x="15428379" y="1563205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7549</xdr:colOff>
      <xdr:row>4</xdr:row>
      <xdr:rowOff>223209</xdr:rowOff>
    </xdr:from>
    <xdr:to>
      <xdr:col>39</xdr:col>
      <xdr:colOff>7549</xdr:colOff>
      <xdr:row>4</xdr:row>
      <xdr:rowOff>223209</xdr:rowOff>
    </xdr:to>
    <xdr:cxnSp macro="">
      <xdr:nvCxnSpPr>
        <xdr:cNvPr id="30" name="直線コネクタ 29">
          <a:extLst>
            <a:ext uri="{FF2B5EF4-FFF2-40B4-BE49-F238E27FC236}">
              <a16:creationId xmlns:a16="http://schemas.microsoft.com/office/drawing/2014/main" id="{624CDFA0-6FF0-4FFF-B8B4-8386A43A1C2A}"/>
            </a:ext>
          </a:extLst>
        </xdr:cNvPr>
        <xdr:cNvCxnSpPr/>
      </xdr:nvCxnSpPr>
      <xdr:spPr>
        <a:xfrm>
          <a:off x="15427266" y="1445284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2628</xdr:colOff>
      <xdr:row>5</xdr:row>
      <xdr:rowOff>143788</xdr:rowOff>
    </xdr:from>
    <xdr:to>
      <xdr:col>39</xdr:col>
      <xdr:colOff>2628</xdr:colOff>
      <xdr:row>5</xdr:row>
      <xdr:rowOff>143788</xdr:rowOff>
    </xdr:to>
    <xdr:cxnSp macro="">
      <xdr:nvCxnSpPr>
        <xdr:cNvPr id="31" name="直線コネクタ 30">
          <a:extLst>
            <a:ext uri="{FF2B5EF4-FFF2-40B4-BE49-F238E27FC236}">
              <a16:creationId xmlns:a16="http://schemas.microsoft.com/office/drawing/2014/main" id="{1B745B7B-5CCF-4EEA-9BE7-2FF2774C5838}"/>
            </a:ext>
          </a:extLst>
        </xdr:cNvPr>
        <xdr:cNvCxnSpPr/>
      </xdr:nvCxnSpPr>
      <xdr:spPr>
        <a:xfrm>
          <a:off x="15422345" y="1671382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18366</xdr:colOff>
      <xdr:row>15</xdr:row>
      <xdr:rowOff>9372</xdr:rowOff>
    </xdr:from>
    <xdr:to>
      <xdr:col>21</xdr:col>
      <xdr:colOff>18366</xdr:colOff>
      <xdr:row>15</xdr:row>
      <xdr:rowOff>9372</xdr:rowOff>
    </xdr:to>
    <xdr:cxnSp macro="">
      <xdr:nvCxnSpPr>
        <xdr:cNvPr id="45" name="直線コネクタ 44">
          <a:extLst>
            <a:ext uri="{FF2B5EF4-FFF2-40B4-BE49-F238E27FC236}">
              <a16:creationId xmlns:a16="http://schemas.microsoft.com/office/drawing/2014/main" id="{0E2E4BD3-FF38-42CC-9549-18552F600064}"/>
            </a:ext>
          </a:extLst>
        </xdr:cNvPr>
        <xdr:cNvCxnSpPr/>
      </xdr:nvCxnSpPr>
      <xdr:spPr>
        <a:xfrm>
          <a:off x="5975984" y="1536966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16893</xdr:colOff>
      <xdr:row>14</xdr:row>
      <xdr:rowOff>304442</xdr:rowOff>
    </xdr:from>
    <xdr:to>
      <xdr:col>54</xdr:col>
      <xdr:colOff>16893</xdr:colOff>
      <xdr:row>14</xdr:row>
      <xdr:rowOff>304442</xdr:rowOff>
    </xdr:to>
    <xdr:cxnSp macro="">
      <xdr:nvCxnSpPr>
        <xdr:cNvPr id="50" name="直線コネクタ 49">
          <a:extLst>
            <a:ext uri="{FF2B5EF4-FFF2-40B4-BE49-F238E27FC236}">
              <a16:creationId xmlns:a16="http://schemas.microsoft.com/office/drawing/2014/main" id="{262FAD78-BFAC-469F-8A5F-5EF3FDBB3062}"/>
            </a:ext>
          </a:extLst>
        </xdr:cNvPr>
        <xdr:cNvCxnSpPr/>
      </xdr:nvCxnSpPr>
      <xdr:spPr>
        <a:xfrm>
          <a:off x="11231233" y="4581706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18007</xdr:colOff>
      <xdr:row>15</xdr:row>
      <xdr:rowOff>44956</xdr:rowOff>
    </xdr:from>
    <xdr:to>
      <xdr:col>36</xdr:col>
      <xdr:colOff>18007</xdr:colOff>
      <xdr:row>15</xdr:row>
      <xdr:rowOff>44956</xdr:rowOff>
    </xdr:to>
    <xdr:cxnSp macro="">
      <xdr:nvCxnSpPr>
        <xdr:cNvPr id="55" name="直線コネクタ 54">
          <a:extLst>
            <a:ext uri="{FF2B5EF4-FFF2-40B4-BE49-F238E27FC236}">
              <a16:creationId xmlns:a16="http://schemas.microsoft.com/office/drawing/2014/main" id="{16A46A91-CCF8-456D-86BE-80AD387304CD}"/>
            </a:ext>
          </a:extLst>
        </xdr:cNvPr>
        <xdr:cNvCxnSpPr/>
      </xdr:nvCxnSpPr>
      <xdr:spPr>
        <a:xfrm>
          <a:off x="14386380" y="1572550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8662</xdr:colOff>
      <xdr:row>15</xdr:row>
      <xdr:rowOff>35611</xdr:rowOff>
    </xdr:from>
    <xdr:to>
      <xdr:col>39</xdr:col>
      <xdr:colOff>8662</xdr:colOff>
      <xdr:row>15</xdr:row>
      <xdr:rowOff>35611</xdr:rowOff>
    </xdr:to>
    <xdr:cxnSp macro="">
      <xdr:nvCxnSpPr>
        <xdr:cNvPr id="58" name="直線コネクタ 57">
          <a:extLst>
            <a:ext uri="{FF2B5EF4-FFF2-40B4-BE49-F238E27FC236}">
              <a16:creationId xmlns:a16="http://schemas.microsoft.com/office/drawing/2014/main" id="{9C64D37D-8695-4606-B618-F57039B070DA}"/>
            </a:ext>
          </a:extLst>
        </xdr:cNvPr>
        <xdr:cNvCxnSpPr/>
      </xdr:nvCxnSpPr>
      <xdr:spPr>
        <a:xfrm>
          <a:off x="15428379" y="1563205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18365</xdr:colOff>
      <xdr:row>5</xdr:row>
      <xdr:rowOff>9372</xdr:rowOff>
    </xdr:from>
    <xdr:to>
      <xdr:col>54</xdr:col>
      <xdr:colOff>18365</xdr:colOff>
      <xdr:row>5</xdr:row>
      <xdr:rowOff>9372</xdr:rowOff>
    </xdr:to>
    <xdr:cxnSp macro="">
      <xdr:nvCxnSpPr>
        <xdr:cNvPr id="61" name="直線コネクタ 60">
          <a:extLst>
            <a:ext uri="{FF2B5EF4-FFF2-40B4-BE49-F238E27FC236}">
              <a16:creationId xmlns:a16="http://schemas.microsoft.com/office/drawing/2014/main" id="{EB23BD89-1E0D-4D77-A581-6158A2A22BD2}"/>
            </a:ext>
          </a:extLst>
        </xdr:cNvPr>
        <xdr:cNvCxnSpPr/>
      </xdr:nvCxnSpPr>
      <xdr:spPr>
        <a:xfrm>
          <a:off x="11232705" y="1536966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8986</xdr:colOff>
      <xdr:row>5</xdr:row>
      <xdr:rowOff>8986</xdr:rowOff>
    </xdr:from>
    <xdr:to>
      <xdr:col>18</xdr:col>
      <xdr:colOff>8986</xdr:colOff>
      <xdr:row>5</xdr:row>
      <xdr:rowOff>8986</xdr:rowOff>
    </xdr:to>
    <xdr:cxnSp macro="">
      <xdr:nvCxnSpPr>
        <xdr:cNvPr id="62" name="直線コネクタ 61">
          <a:extLst>
            <a:ext uri="{FF2B5EF4-FFF2-40B4-BE49-F238E27FC236}">
              <a16:creationId xmlns:a16="http://schemas.microsoft.com/office/drawing/2014/main" id="{26BE1960-8B58-4C60-BA89-E810ADA0410C}"/>
            </a:ext>
          </a:extLst>
        </xdr:cNvPr>
        <xdr:cNvCxnSpPr/>
      </xdr:nvCxnSpPr>
      <xdr:spPr>
        <a:xfrm>
          <a:off x="4915260" y="1536580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16893</xdr:colOff>
      <xdr:row>24</xdr:row>
      <xdr:rowOff>304442</xdr:rowOff>
    </xdr:from>
    <xdr:to>
      <xdr:col>54</xdr:col>
      <xdr:colOff>16893</xdr:colOff>
      <xdr:row>24</xdr:row>
      <xdr:rowOff>304442</xdr:rowOff>
    </xdr:to>
    <xdr:cxnSp macro="">
      <xdr:nvCxnSpPr>
        <xdr:cNvPr id="66" name="直線コネクタ 65">
          <a:extLst>
            <a:ext uri="{FF2B5EF4-FFF2-40B4-BE49-F238E27FC236}">
              <a16:creationId xmlns:a16="http://schemas.microsoft.com/office/drawing/2014/main" id="{29FA5611-2F2C-4B3A-B77C-2ECFD36DFE77}"/>
            </a:ext>
          </a:extLst>
        </xdr:cNvPr>
        <xdr:cNvCxnSpPr/>
      </xdr:nvCxnSpPr>
      <xdr:spPr>
        <a:xfrm>
          <a:off x="11231233" y="4581706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18007</xdr:colOff>
      <xdr:row>25</xdr:row>
      <xdr:rowOff>44956</xdr:rowOff>
    </xdr:from>
    <xdr:to>
      <xdr:col>36</xdr:col>
      <xdr:colOff>18007</xdr:colOff>
      <xdr:row>25</xdr:row>
      <xdr:rowOff>44956</xdr:rowOff>
    </xdr:to>
    <xdr:cxnSp macro="">
      <xdr:nvCxnSpPr>
        <xdr:cNvPr id="68" name="直線コネクタ 67">
          <a:extLst>
            <a:ext uri="{FF2B5EF4-FFF2-40B4-BE49-F238E27FC236}">
              <a16:creationId xmlns:a16="http://schemas.microsoft.com/office/drawing/2014/main" id="{B39AC0B1-2B44-4C90-87D6-5413DBCFEE71}"/>
            </a:ext>
          </a:extLst>
        </xdr:cNvPr>
        <xdr:cNvCxnSpPr/>
      </xdr:nvCxnSpPr>
      <xdr:spPr>
        <a:xfrm>
          <a:off x="14386380" y="4627739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8662</xdr:colOff>
      <xdr:row>25</xdr:row>
      <xdr:rowOff>35611</xdr:rowOff>
    </xdr:from>
    <xdr:to>
      <xdr:col>39</xdr:col>
      <xdr:colOff>8662</xdr:colOff>
      <xdr:row>25</xdr:row>
      <xdr:rowOff>35611</xdr:rowOff>
    </xdr:to>
    <xdr:cxnSp macro="">
      <xdr:nvCxnSpPr>
        <xdr:cNvPr id="69" name="直線コネクタ 68">
          <a:extLst>
            <a:ext uri="{FF2B5EF4-FFF2-40B4-BE49-F238E27FC236}">
              <a16:creationId xmlns:a16="http://schemas.microsoft.com/office/drawing/2014/main" id="{14DCC354-33FA-4F91-99EA-2EA173C3B964}"/>
            </a:ext>
          </a:extLst>
        </xdr:cNvPr>
        <xdr:cNvCxnSpPr/>
      </xdr:nvCxnSpPr>
      <xdr:spPr>
        <a:xfrm>
          <a:off x="15428379" y="4618394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16893</xdr:colOff>
      <xdr:row>34</xdr:row>
      <xdr:rowOff>304442</xdr:rowOff>
    </xdr:from>
    <xdr:to>
      <xdr:col>54</xdr:col>
      <xdr:colOff>16893</xdr:colOff>
      <xdr:row>34</xdr:row>
      <xdr:rowOff>304442</xdr:rowOff>
    </xdr:to>
    <xdr:cxnSp macro="">
      <xdr:nvCxnSpPr>
        <xdr:cNvPr id="72" name="直線コネクタ 71">
          <a:extLst>
            <a:ext uri="{FF2B5EF4-FFF2-40B4-BE49-F238E27FC236}">
              <a16:creationId xmlns:a16="http://schemas.microsoft.com/office/drawing/2014/main" id="{ECEABA09-FAC0-4359-A656-1EECC79F86EC}"/>
            </a:ext>
          </a:extLst>
        </xdr:cNvPr>
        <xdr:cNvCxnSpPr/>
      </xdr:nvCxnSpPr>
      <xdr:spPr>
        <a:xfrm>
          <a:off x="15436610" y="7636895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395</xdr:colOff>
      <xdr:row>35</xdr:row>
      <xdr:rowOff>27344</xdr:rowOff>
    </xdr:from>
    <xdr:to>
      <xdr:col>33</xdr:col>
      <xdr:colOff>395</xdr:colOff>
      <xdr:row>35</xdr:row>
      <xdr:rowOff>27344</xdr:rowOff>
    </xdr:to>
    <xdr:cxnSp macro="">
      <xdr:nvCxnSpPr>
        <xdr:cNvPr id="73" name="直線コネクタ 72">
          <a:extLst>
            <a:ext uri="{FF2B5EF4-FFF2-40B4-BE49-F238E27FC236}">
              <a16:creationId xmlns:a16="http://schemas.microsoft.com/office/drawing/2014/main" id="{77B372F1-ACBA-45FD-BFD8-E4DA4E557E5D}"/>
            </a:ext>
          </a:extLst>
        </xdr:cNvPr>
        <xdr:cNvCxnSpPr/>
      </xdr:nvCxnSpPr>
      <xdr:spPr>
        <a:xfrm>
          <a:off x="9112046" y="7665316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18007</xdr:colOff>
      <xdr:row>35</xdr:row>
      <xdr:rowOff>44956</xdr:rowOff>
    </xdr:from>
    <xdr:to>
      <xdr:col>36</xdr:col>
      <xdr:colOff>18007</xdr:colOff>
      <xdr:row>35</xdr:row>
      <xdr:rowOff>44956</xdr:rowOff>
    </xdr:to>
    <xdr:cxnSp macro="">
      <xdr:nvCxnSpPr>
        <xdr:cNvPr id="74" name="直線コネクタ 73">
          <a:extLst>
            <a:ext uri="{FF2B5EF4-FFF2-40B4-BE49-F238E27FC236}">
              <a16:creationId xmlns:a16="http://schemas.microsoft.com/office/drawing/2014/main" id="{64392384-9672-4E11-8E33-4439B5ABD1F4}"/>
            </a:ext>
          </a:extLst>
        </xdr:cNvPr>
        <xdr:cNvCxnSpPr/>
      </xdr:nvCxnSpPr>
      <xdr:spPr>
        <a:xfrm>
          <a:off x="10181002" y="7682928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8662</xdr:colOff>
      <xdr:row>35</xdr:row>
      <xdr:rowOff>35611</xdr:rowOff>
    </xdr:from>
    <xdr:to>
      <xdr:col>39</xdr:col>
      <xdr:colOff>8662</xdr:colOff>
      <xdr:row>35</xdr:row>
      <xdr:rowOff>35611</xdr:rowOff>
    </xdr:to>
    <xdr:cxnSp macro="">
      <xdr:nvCxnSpPr>
        <xdr:cNvPr id="75" name="直線コネクタ 74">
          <a:extLst>
            <a:ext uri="{FF2B5EF4-FFF2-40B4-BE49-F238E27FC236}">
              <a16:creationId xmlns:a16="http://schemas.microsoft.com/office/drawing/2014/main" id="{9837D342-6B95-4535-813A-B859C7D6653A}"/>
            </a:ext>
          </a:extLst>
        </xdr:cNvPr>
        <xdr:cNvCxnSpPr/>
      </xdr:nvCxnSpPr>
      <xdr:spPr>
        <a:xfrm>
          <a:off x="11223002" y="7673583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18366</xdr:colOff>
      <xdr:row>15</xdr:row>
      <xdr:rowOff>9372</xdr:rowOff>
    </xdr:from>
    <xdr:to>
      <xdr:col>24</xdr:col>
      <xdr:colOff>18366</xdr:colOff>
      <xdr:row>15</xdr:row>
      <xdr:rowOff>9372</xdr:rowOff>
    </xdr:to>
    <xdr:cxnSp macro="">
      <xdr:nvCxnSpPr>
        <xdr:cNvPr id="78" name="直線コネクタ 77">
          <a:extLst>
            <a:ext uri="{FF2B5EF4-FFF2-40B4-BE49-F238E27FC236}">
              <a16:creationId xmlns:a16="http://schemas.microsoft.com/office/drawing/2014/main" id="{1EF41A91-4652-4120-BB7C-4967D6AB1B83}"/>
            </a:ext>
          </a:extLst>
        </xdr:cNvPr>
        <xdr:cNvCxnSpPr/>
      </xdr:nvCxnSpPr>
      <xdr:spPr>
        <a:xfrm>
          <a:off x="7027328" y="4592155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8662</xdr:colOff>
      <xdr:row>15</xdr:row>
      <xdr:rowOff>35611</xdr:rowOff>
    </xdr:from>
    <xdr:to>
      <xdr:col>42</xdr:col>
      <xdr:colOff>8662</xdr:colOff>
      <xdr:row>15</xdr:row>
      <xdr:rowOff>35611</xdr:rowOff>
    </xdr:to>
    <xdr:cxnSp macro="">
      <xdr:nvCxnSpPr>
        <xdr:cNvPr id="82" name="直線コネクタ 81">
          <a:extLst>
            <a:ext uri="{FF2B5EF4-FFF2-40B4-BE49-F238E27FC236}">
              <a16:creationId xmlns:a16="http://schemas.microsoft.com/office/drawing/2014/main" id="{E844E46F-9F19-43D6-80AD-34E8340CFFB4}"/>
            </a:ext>
          </a:extLst>
        </xdr:cNvPr>
        <xdr:cNvCxnSpPr/>
      </xdr:nvCxnSpPr>
      <xdr:spPr>
        <a:xfrm>
          <a:off x="13325690" y="4618394"/>
          <a:ext cx="35044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16893</xdr:colOff>
      <xdr:row>14</xdr:row>
      <xdr:rowOff>304442</xdr:rowOff>
    </xdr:from>
    <xdr:to>
      <xdr:col>57</xdr:col>
      <xdr:colOff>16893</xdr:colOff>
      <xdr:row>14</xdr:row>
      <xdr:rowOff>304442</xdr:rowOff>
    </xdr:to>
    <xdr:cxnSp macro="">
      <xdr:nvCxnSpPr>
        <xdr:cNvPr id="84" name="直線コネクタ 83">
          <a:extLst>
            <a:ext uri="{FF2B5EF4-FFF2-40B4-BE49-F238E27FC236}">
              <a16:creationId xmlns:a16="http://schemas.microsoft.com/office/drawing/2014/main" id="{1C08D964-F488-4E7E-BBA3-DCC8CCFF3E98}"/>
            </a:ext>
          </a:extLst>
        </xdr:cNvPr>
        <xdr:cNvCxnSpPr/>
      </xdr:nvCxnSpPr>
      <xdr:spPr>
        <a:xfrm>
          <a:off x="18428158" y="4540266"/>
          <a:ext cx="347382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16893</xdr:colOff>
      <xdr:row>24</xdr:row>
      <xdr:rowOff>304442</xdr:rowOff>
    </xdr:from>
    <xdr:to>
      <xdr:col>54</xdr:col>
      <xdr:colOff>16893</xdr:colOff>
      <xdr:row>24</xdr:row>
      <xdr:rowOff>304442</xdr:rowOff>
    </xdr:to>
    <xdr:cxnSp macro="">
      <xdr:nvCxnSpPr>
        <xdr:cNvPr id="87" name="直線コネクタ 86">
          <a:extLst>
            <a:ext uri="{FF2B5EF4-FFF2-40B4-BE49-F238E27FC236}">
              <a16:creationId xmlns:a16="http://schemas.microsoft.com/office/drawing/2014/main" id="{AB577781-A2B9-4315-8E2A-FB5C29CC8EF1}"/>
            </a:ext>
          </a:extLst>
        </xdr:cNvPr>
        <xdr:cNvCxnSpPr/>
      </xdr:nvCxnSpPr>
      <xdr:spPr>
        <a:xfrm>
          <a:off x="18428158" y="4540266"/>
          <a:ext cx="347382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18007</xdr:colOff>
      <xdr:row>25</xdr:row>
      <xdr:rowOff>44956</xdr:rowOff>
    </xdr:from>
    <xdr:to>
      <xdr:col>36</xdr:col>
      <xdr:colOff>18007</xdr:colOff>
      <xdr:row>25</xdr:row>
      <xdr:rowOff>44956</xdr:rowOff>
    </xdr:to>
    <xdr:cxnSp macro="">
      <xdr:nvCxnSpPr>
        <xdr:cNvPr id="89" name="直線コネクタ 88">
          <a:extLst>
            <a:ext uri="{FF2B5EF4-FFF2-40B4-BE49-F238E27FC236}">
              <a16:creationId xmlns:a16="http://schemas.microsoft.com/office/drawing/2014/main" id="{71D558A9-504E-4728-8858-CF8D745CC1D4}"/>
            </a:ext>
          </a:extLst>
        </xdr:cNvPr>
        <xdr:cNvCxnSpPr/>
      </xdr:nvCxnSpPr>
      <xdr:spPr>
        <a:xfrm>
          <a:off x="12176389" y="4583338"/>
          <a:ext cx="347383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8662</xdr:colOff>
      <xdr:row>25</xdr:row>
      <xdr:rowOff>35611</xdr:rowOff>
    </xdr:from>
    <xdr:to>
      <xdr:col>39</xdr:col>
      <xdr:colOff>8662</xdr:colOff>
      <xdr:row>25</xdr:row>
      <xdr:rowOff>35611</xdr:rowOff>
    </xdr:to>
    <xdr:cxnSp macro="">
      <xdr:nvCxnSpPr>
        <xdr:cNvPr id="90" name="直線コネクタ 89">
          <a:extLst>
            <a:ext uri="{FF2B5EF4-FFF2-40B4-BE49-F238E27FC236}">
              <a16:creationId xmlns:a16="http://schemas.microsoft.com/office/drawing/2014/main" id="{F5428B06-CD13-467F-A05A-6717D524B88C}"/>
            </a:ext>
          </a:extLst>
        </xdr:cNvPr>
        <xdr:cNvCxnSpPr/>
      </xdr:nvCxnSpPr>
      <xdr:spPr>
        <a:xfrm>
          <a:off x="13209191" y="4573993"/>
          <a:ext cx="347383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8662</xdr:colOff>
      <xdr:row>25</xdr:row>
      <xdr:rowOff>35611</xdr:rowOff>
    </xdr:from>
    <xdr:to>
      <xdr:col>42</xdr:col>
      <xdr:colOff>8662</xdr:colOff>
      <xdr:row>25</xdr:row>
      <xdr:rowOff>35611</xdr:rowOff>
    </xdr:to>
    <xdr:cxnSp macro="">
      <xdr:nvCxnSpPr>
        <xdr:cNvPr id="96" name="直線コネクタ 95">
          <a:extLst>
            <a:ext uri="{FF2B5EF4-FFF2-40B4-BE49-F238E27FC236}">
              <a16:creationId xmlns:a16="http://schemas.microsoft.com/office/drawing/2014/main" id="{9BCB7FA6-4938-432B-B83C-AB9D47D66EDF}"/>
            </a:ext>
          </a:extLst>
        </xdr:cNvPr>
        <xdr:cNvCxnSpPr/>
      </xdr:nvCxnSpPr>
      <xdr:spPr>
        <a:xfrm>
          <a:off x="14251338" y="4573993"/>
          <a:ext cx="347383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16893</xdr:colOff>
      <xdr:row>24</xdr:row>
      <xdr:rowOff>304442</xdr:rowOff>
    </xdr:from>
    <xdr:to>
      <xdr:col>57</xdr:col>
      <xdr:colOff>16893</xdr:colOff>
      <xdr:row>24</xdr:row>
      <xdr:rowOff>304442</xdr:rowOff>
    </xdr:to>
    <xdr:cxnSp macro="">
      <xdr:nvCxnSpPr>
        <xdr:cNvPr id="98" name="直線コネクタ 97">
          <a:extLst>
            <a:ext uri="{FF2B5EF4-FFF2-40B4-BE49-F238E27FC236}">
              <a16:creationId xmlns:a16="http://schemas.microsoft.com/office/drawing/2014/main" id="{98A7EC27-15A9-4337-9D10-CC66F03BDEAB}"/>
            </a:ext>
          </a:extLst>
        </xdr:cNvPr>
        <xdr:cNvCxnSpPr/>
      </xdr:nvCxnSpPr>
      <xdr:spPr>
        <a:xfrm>
          <a:off x="19470305" y="4540266"/>
          <a:ext cx="347382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16893</xdr:colOff>
      <xdr:row>34</xdr:row>
      <xdr:rowOff>304442</xdr:rowOff>
    </xdr:from>
    <xdr:to>
      <xdr:col>54</xdr:col>
      <xdr:colOff>16893</xdr:colOff>
      <xdr:row>34</xdr:row>
      <xdr:rowOff>304442</xdr:rowOff>
    </xdr:to>
    <xdr:cxnSp macro="">
      <xdr:nvCxnSpPr>
        <xdr:cNvPr id="104" name="直線コネクタ 103">
          <a:extLst>
            <a:ext uri="{FF2B5EF4-FFF2-40B4-BE49-F238E27FC236}">
              <a16:creationId xmlns:a16="http://schemas.microsoft.com/office/drawing/2014/main" id="{DEB38CDB-615D-4C6A-ACB2-B523F869C279}"/>
            </a:ext>
          </a:extLst>
        </xdr:cNvPr>
        <xdr:cNvCxnSpPr/>
      </xdr:nvCxnSpPr>
      <xdr:spPr>
        <a:xfrm>
          <a:off x="18428158" y="7565854"/>
          <a:ext cx="347382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16893</xdr:colOff>
      <xdr:row>34</xdr:row>
      <xdr:rowOff>304442</xdr:rowOff>
    </xdr:from>
    <xdr:to>
      <xdr:col>54</xdr:col>
      <xdr:colOff>16893</xdr:colOff>
      <xdr:row>34</xdr:row>
      <xdr:rowOff>304442</xdr:rowOff>
    </xdr:to>
    <xdr:cxnSp macro="">
      <xdr:nvCxnSpPr>
        <xdr:cNvPr id="105" name="直線コネクタ 104">
          <a:extLst>
            <a:ext uri="{FF2B5EF4-FFF2-40B4-BE49-F238E27FC236}">
              <a16:creationId xmlns:a16="http://schemas.microsoft.com/office/drawing/2014/main" id="{C0015921-B7D6-4A6B-BF6B-18159433D026}"/>
            </a:ext>
          </a:extLst>
        </xdr:cNvPr>
        <xdr:cNvCxnSpPr/>
      </xdr:nvCxnSpPr>
      <xdr:spPr>
        <a:xfrm>
          <a:off x="18428158" y="7565854"/>
          <a:ext cx="347382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16893</xdr:colOff>
      <xdr:row>34</xdr:row>
      <xdr:rowOff>304442</xdr:rowOff>
    </xdr:from>
    <xdr:to>
      <xdr:col>57</xdr:col>
      <xdr:colOff>16893</xdr:colOff>
      <xdr:row>34</xdr:row>
      <xdr:rowOff>304442</xdr:rowOff>
    </xdr:to>
    <xdr:cxnSp macro="">
      <xdr:nvCxnSpPr>
        <xdr:cNvPr id="106" name="直線コネクタ 105">
          <a:extLst>
            <a:ext uri="{FF2B5EF4-FFF2-40B4-BE49-F238E27FC236}">
              <a16:creationId xmlns:a16="http://schemas.microsoft.com/office/drawing/2014/main" id="{342B3A6C-5E33-4DDA-ADCA-4E0B1C779BE6}"/>
            </a:ext>
          </a:extLst>
        </xdr:cNvPr>
        <xdr:cNvCxnSpPr/>
      </xdr:nvCxnSpPr>
      <xdr:spPr>
        <a:xfrm>
          <a:off x="19470305" y="7565854"/>
          <a:ext cx="347382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16893</xdr:colOff>
      <xdr:row>44</xdr:row>
      <xdr:rowOff>304442</xdr:rowOff>
    </xdr:from>
    <xdr:to>
      <xdr:col>54</xdr:col>
      <xdr:colOff>16893</xdr:colOff>
      <xdr:row>44</xdr:row>
      <xdr:rowOff>304442</xdr:rowOff>
    </xdr:to>
    <xdr:cxnSp macro="">
      <xdr:nvCxnSpPr>
        <xdr:cNvPr id="108" name="直線コネクタ 107">
          <a:extLst>
            <a:ext uri="{FF2B5EF4-FFF2-40B4-BE49-F238E27FC236}">
              <a16:creationId xmlns:a16="http://schemas.microsoft.com/office/drawing/2014/main" id="{8D136C8C-3547-4C66-8A1E-96A91C0FC188}"/>
            </a:ext>
          </a:extLst>
        </xdr:cNvPr>
        <xdr:cNvCxnSpPr/>
      </xdr:nvCxnSpPr>
      <xdr:spPr>
        <a:xfrm>
          <a:off x="18428158" y="10591442"/>
          <a:ext cx="347382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16893</xdr:colOff>
      <xdr:row>44</xdr:row>
      <xdr:rowOff>304442</xdr:rowOff>
    </xdr:from>
    <xdr:to>
      <xdr:col>54</xdr:col>
      <xdr:colOff>16893</xdr:colOff>
      <xdr:row>44</xdr:row>
      <xdr:rowOff>304442</xdr:rowOff>
    </xdr:to>
    <xdr:cxnSp macro="">
      <xdr:nvCxnSpPr>
        <xdr:cNvPr id="117" name="直線コネクタ 116">
          <a:extLst>
            <a:ext uri="{FF2B5EF4-FFF2-40B4-BE49-F238E27FC236}">
              <a16:creationId xmlns:a16="http://schemas.microsoft.com/office/drawing/2014/main" id="{133F18C0-5B4E-4D6F-AAE6-A1E18262AD16}"/>
            </a:ext>
          </a:extLst>
        </xdr:cNvPr>
        <xdr:cNvCxnSpPr/>
      </xdr:nvCxnSpPr>
      <xdr:spPr>
        <a:xfrm>
          <a:off x="18428158" y="10591442"/>
          <a:ext cx="347382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16893</xdr:colOff>
      <xdr:row>44</xdr:row>
      <xdr:rowOff>304442</xdr:rowOff>
    </xdr:from>
    <xdr:to>
      <xdr:col>54</xdr:col>
      <xdr:colOff>16893</xdr:colOff>
      <xdr:row>44</xdr:row>
      <xdr:rowOff>304442</xdr:rowOff>
    </xdr:to>
    <xdr:cxnSp macro="">
      <xdr:nvCxnSpPr>
        <xdr:cNvPr id="118" name="直線コネクタ 117">
          <a:extLst>
            <a:ext uri="{FF2B5EF4-FFF2-40B4-BE49-F238E27FC236}">
              <a16:creationId xmlns:a16="http://schemas.microsoft.com/office/drawing/2014/main" id="{A2F66386-BA06-4657-A698-41F3A02083FC}"/>
            </a:ext>
          </a:extLst>
        </xdr:cNvPr>
        <xdr:cNvCxnSpPr/>
      </xdr:nvCxnSpPr>
      <xdr:spPr>
        <a:xfrm>
          <a:off x="18428158" y="10591442"/>
          <a:ext cx="347382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16893</xdr:colOff>
      <xdr:row>44</xdr:row>
      <xdr:rowOff>304442</xdr:rowOff>
    </xdr:from>
    <xdr:to>
      <xdr:col>57</xdr:col>
      <xdr:colOff>16893</xdr:colOff>
      <xdr:row>44</xdr:row>
      <xdr:rowOff>304442</xdr:rowOff>
    </xdr:to>
    <xdr:cxnSp macro="">
      <xdr:nvCxnSpPr>
        <xdr:cNvPr id="119" name="直線コネクタ 118">
          <a:extLst>
            <a:ext uri="{FF2B5EF4-FFF2-40B4-BE49-F238E27FC236}">
              <a16:creationId xmlns:a16="http://schemas.microsoft.com/office/drawing/2014/main" id="{91F6AE03-B9B7-4786-8711-782556FDA8AD}"/>
            </a:ext>
          </a:extLst>
        </xdr:cNvPr>
        <xdr:cNvCxnSpPr/>
      </xdr:nvCxnSpPr>
      <xdr:spPr>
        <a:xfrm>
          <a:off x="19470305" y="10591442"/>
          <a:ext cx="347382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16893</xdr:colOff>
      <xdr:row>63</xdr:row>
      <xdr:rowOff>304442</xdr:rowOff>
    </xdr:from>
    <xdr:to>
      <xdr:col>48</xdr:col>
      <xdr:colOff>16893</xdr:colOff>
      <xdr:row>63</xdr:row>
      <xdr:rowOff>304442</xdr:rowOff>
    </xdr:to>
    <xdr:cxnSp macro="">
      <xdr:nvCxnSpPr>
        <xdr:cNvPr id="138" name="直線コネクタ 137">
          <a:extLst>
            <a:ext uri="{FF2B5EF4-FFF2-40B4-BE49-F238E27FC236}">
              <a16:creationId xmlns:a16="http://schemas.microsoft.com/office/drawing/2014/main" id="{56DC35AB-86B4-4EED-B5AA-BB24C0295CA6}"/>
            </a:ext>
          </a:extLst>
        </xdr:cNvPr>
        <xdr:cNvCxnSpPr/>
      </xdr:nvCxnSpPr>
      <xdr:spPr>
        <a:xfrm>
          <a:off x="17386011" y="19365648"/>
          <a:ext cx="347382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16893</xdr:colOff>
      <xdr:row>63</xdr:row>
      <xdr:rowOff>304442</xdr:rowOff>
    </xdr:from>
    <xdr:to>
      <xdr:col>48</xdr:col>
      <xdr:colOff>16893</xdr:colOff>
      <xdr:row>63</xdr:row>
      <xdr:rowOff>304442</xdr:rowOff>
    </xdr:to>
    <xdr:cxnSp macro="">
      <xdr:nvCxnSpPr>
        <xdr:cNvPr id="139" name="直線コネクタ 138">
          <a:extLst>
            <a:ext uri="{FF2B5EF4-FFF2-40B4-BE49-F238E27FC236}">
              <a16:creationId xmlns:a16="http://schemas.microsoft.com/office/drawing/2014/main" id="{9649A117-3DA1-4FD8-905B-7FF554BC4F5F}"/>
            </a:ext>
          </a:extLst>
        </xdr:cNvPr>
        <xdr:cNvCxnSpPr/>
      </xdr:nvCxnSpPr>
      <xdr:spPr>
        <a:xfrm>
          <a:off x="17386011" y="19365648"/>
          <a:ext cx="347382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16893</xdr:colOff>
      <xdr:row>63</xdr:row>
      <xdr:rowOff>304442</xdr:rowOff>
    </xdr:from>
    <xdr:to>
      <xdr:col>48</xdr:col>
      <xdr:colOff>16893</xdr:colOff>
      <xdr:row>63</xdr:row>
      <xdr:rowOff>304442</xdr:rowOff>
    </xdr:to>
    <xdr:cxnSp macro="">
      <xdr:nvCxnSpPr>
        <xdr:cNvPr id="140" name="直線コネクタ 139">
          <a:extLst>
            <a:ext uri="{FF2B5EF4-FFF2-40B4-BE49-F238E27FC236}">
              <a16:creationId xmlns:a16="http://schemas.microsoft.com/office/drawing/2014/main" id="{B9C200BA-27CF-45E2-9637-3C2459BC95D8}"/>
            </a:ext>
          </a:extLst>
        </xdr:cNvPr>
        <xdr:cNvCxnSpPr/>
      </xdr:nvCxnSpPr>
      <xdr:spPr>
        <a:xfrm>
          <a:off x="17386011" y="19365648"/>
          <a:ext cx="347382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16893</xdr:colOff>
      <xdr:row>54</xdr:row>
      <xdr:rowOff>304442</xdr:rowOff>
    </xdr:from>
    <xdr:to>
      <xdr:col>48</xdr:col>
      <xdr:colOff>16893</xdr:colOff>
      <xdr:row>54</xdr:row>
      <xdr:rowOff>304442</xdr:rowOff>
    </xdr:to>
    <xdr:cxnSp macro="">
      <xdr:nvCxnSpPr>
        <xdr:cNvPr id="142" name="直線コネクタ 141">
          <a:extLst>
            <a:ext uri="{FF2B5EF4-FFF2-40B4-BE49-F238E27FC236}">
              <a16:creationId xmlns:a16="http://schemas.microsoft.com/office/drawing/2014/main" id="{BC44E6F6-D1C6-49E4-B071-8874FE0327F3}"/>
            </a:ext>
          </a:extLst>
        </xdr:cNvPr>
        <xdr:cNvCxnSpPr/>
      </xdr:nvCxnSpPr>
      <xdr:spPr>
        <a:xfrm>
          <a:off x="18428158" y="16642618"/>
          <a:ext cx="347382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16893</xdr:colOff>
      <xdr:row>54</xdr:row>
      <xdr:rowOff>304442</xdr:rowOff>
    </xdr:from>
    <xdr:to>
      <xdr:col>51</xdr:col>
      <xdr:colOff>16893</xdr:colOff>
      <xdr:row>54</xdr:row>
      <xdr:rowOff>304442</xdr:rowOff>
    </xdr:to>
    <xdr:cxnSp macro="">
      <xdr:nvCxnSpPr>
        <xdr:cNvPr id="145" name="直線コネクタ 144">
          <a:extLst>
            <a:ext uri="{FF2B5EF4-FFF2-40B4-BE49-F238E27FC236}">
              <a16:creationId xmlns:a16="http://schemas.microsoft.com/office/drawing/2014/main" id="{673A8032-3984-413E-A4D7-FE74AE2FFDBB}"/>
            </a:ext>
          </a:extLst>
        </xdr:cNvPr>
        <xdr:cNvCxnSpPr/>
      </xdr:nvCxnSpPr>
      <xdr:spPr>
        <a:xfrm>
          <a:off x="19470305" y="16642618"/>
          <a:ext cx="347382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16893</xdr:colOff>
      <xdr:row>72</xdr:row>
      <xdr:rowOff>304442</xdr:rowOff>
    </xdr:from>
    <xdr:to>
      <xdr:col>48</xdr:col>
      <xdr:colOff>16893</xdr:colOff>
      <xdr:row>72</xdr:row>
      <xdr:rowOff>304442</xdr:rowOff>
    </xdr:to>
    <xdr:cxnSp macro="">
      <xdr:nvCxnSpPr>
        <xdr:cNvPr id="153" name="直線コネクタ 152">
          <a:extLst>
            <a:ext uri="{FF2B5EF4-FFF2-40B4-BE49-F238E27FC236}">
              <a16:creationId xmlns:a16="http://schemas.microsoft.com/office/drawing/2014/main" id="{6ED171A6-112D-4D2A-A810-B9CCE98232B6}"/>
            </a:ext>
          </a:extLst>
        </xdr:cNvPr>
        <xdr:cNvCxnSpPr/>
      </xdr:nvCxnSpPr>
      <xdr:spPr>
        <a:xfrm>
          <a:off x="16343864" y="19365648"/>
          <a:ext cx="347382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16893</xdr:colOff>
      <xdr:row>72</xdr:row>
      <xdr:rowOff>304442</xdr:rowOff>
    </xdr:from>
    <xdr:to>
      <xdr:col>48</xdr:col>
      <xdr:colOff>16893</xdr:colOff>
      <xdr:row>72</xdr:row>
      <xdr:rowOff>304442</xdr:rowOff>
    </xdr:to>
    <xdr:cxnSp macro="">
      <xdr:nvCxnSpPr>
        <xdr:cNvPr id="154" name="直線コネクタ 153">
          <a:extLst>
            <a:ext uri="{FF2B5EF4-FFF2-40B4-BE49-F238E27FC236}">
              <a16:creationId xmlns:a16="http://schemas.microsoft.com/office/drawing/2014/main" id="{587E4FE5-0FCE-47CE-A0FD-1A6B72B56419}"/>
            </a:ext>
          </a:extLst>
        </xdr:cNvPr>
        <xdr:cNvCxnSpPr/>
      </xdr:nvCxnSpPr>
      <xdr:spPr>
        <a:xfrm>
          <a:off x="16343864" y="19365648"/>
          <a:ext cx="347382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16893</xdr:colOff>
      <xdr:row>72</xdr:row>
      <xdr:rowOff>304442</xdr:rowOff>
    </xdr:from>
    <xdr:to>
      <xdr:col>48</xdr:col>
      <xdr:colOff>16893</xdr:colOff>
      <xdr:row>72</xdr:row>
      <xdr:rowOff>304442</xdr:rowOff>
    </xdr:to>
    <xdr:cxnSp macro="">
      <xdr:nvCxnSpPr>
        <xdr:cNvPr id="155" name="直線コネクタ 154">
          <a:extLst>
            <a:ext uri="{FF2B5EF4-FFF2-40B4-BE49-F238E27FC236}">
              <a16:creationId xmlns:a16="http://schemas.microsoft.com/office/drawing/2014/main" id="{EDD12B8D-E179-4195-B9A8-A7E4FB41EF11}"/>
            </a:ext>
          </a:extLst>
        </xdr:cNvPr>
        <xdr:cNvCxnSpPr/>
      </xdr:nvCxnSpPr>
      <xdr:spPr>
        <a:xfrm>
          <a:off x="16343864" y="19365648"/>
          <a:ext cx="347382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16893</xdr:colOff>
      <xdr:row>81</xdr:row>
      <xdr:rowOff>304442</xdr:rowOff>
    </xdr:from>
    <xdr:to>
      <xdr:col>51</xdr:col>
      <xdr:colOff>16893</xdr:colOff>
      <xdr:row>81</xdr:row>
      <xdr:rowOff>304442</xdr:rowOff>
    </xdr:to>
    <xdr:cxnSp macro="">
      <xdr:nvCxnSpPr>
        <xdr:cNvPr id="159" name="直線コネクタ 158">
          <a:extLst>
            <a:ext uri="{FF2B5EF4-FFF2-40B4-BE49-F238E27FC236}">
              <a16:creationId xmlns:a16="http://schemas.microsoft.com/office/drawing/2014/main" id="{278FD019-36A2-4D29-BA61-13244A968F3C}"/>
            </a:ext>
          </a:extLst>
        </xdr:cNvPr>
        <xdr:cNvCxnSpPr/>
      </xdr:nvCxnSpPr>
      <xdr:spPr>
        <a:xfrm>
          <a:off x="16343864" y="24811707"/>
          <a:ext cx="347382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16893</xdr:colOff>
      <xdr:row>81</xdr:row>
      <xdr:rowOff>304442</xdr:rowOff>
    </xdr:from>
    <xdr:to>
      <xdr:col>51</xdr:col>
      <xdr:colOff>16893</xdr:colOff>
      <xdr:row>81</xdr:row>
      <xdr:rowOff>304442</xdr:rowOff>
    </xdr:to>
    <xdr:cxnSp macro="">
      <xdr:nvCxnSpPr>
        <xdr:cNvPr id="160" name="直線コネクタ 159">
          <a:extLst>
            <a:ext uri="{FF2B5EF4-FFF2-40B4-BE49-F238E27FC236}">
              <a16:creationId xmlns:a16="http://schemas.microsoft.com/office/drawing/2014/main" id="{75CF9CCE-E462-4008-BB8F-3BC43C895B3C}"/>
            </a:ext>
          </a:extLst>
        </xdr:cNvPr>
        <xdr:cNvCxnSpPr/>
      </xdr:nvCxnSpPr>
      <xdr:spPr>
        <a:xfrm>
          <a:off x="16343864" y="24811707"/>
          <a:ext cx="347382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16893</xdr:colOff>
      <xdr:row>81</xdr:row>
      <xdr:rowOff>304442</xdr:rowOff>
    </xdr:from>
    <xdr:to>
      <xdr:col>51</xdr:col>
      <xdr:colOff>16893</xdr:colOff>
      <xdr:row>81</xdr:row>
      <xdr:rowOff>304442</xdr:rowOff>
    </xdr:to>
    <xdr:cxnSp macro="">
      <xdr:nvCxnSpPr>
        <xdr:cNvPr id="161" name="直線コネクタ 160">
          <a:extLst>
            <a:ext uri="{FF2B5EF4-FFF2-40B4-BE49-F238E27FC236}">
              <a16:creationId xmlns:a16="http://schemas.microsoft.com/office/drawing/2014/main" id="{21F2B616-F2F5-477B-978F-415F919CA002}"/>
            </a:ext>
          </a:extLst>
        </xdr:cNvPr>
        <xdr:cNvCxnSpPr/>
      </xdr:nvCxnSpPr>
      <xdr:spPr>
        <a:xfrm>
          <a:off x="16343864" y="24811707"/>
          <a:ext cx="347382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16893</xdr:colOff>
      <xdr:row>91</xdr:row>
      <xdr:rowOff>80325</xdr:rowOff>
    </xdr:from>
    <xdr:to>
      <xdr:col>51</xdr:col>
      <xdr:colOff>16893</xdr:colOff>
      <xdr:row>91</xdr:row>
      <xdr:rowOff>80325</xdr:rowOff>
    </xdr:to>
    <xdr:cxnSp macro="">
      <xdr:nvCxnSpPr>
        <xdr:cNvPr id="162" name="直線コネクタ 161">
          <a:extLst>
            <a:ext uri="{FF2B5EF4-FFF2-40B4-BE49-F238E27FC236}">
              <a16:creationId xmlns:a16="http://schemas.microsoft.com/office/drawing/2014/main" id="{114FDD31-F05A-47A8-B45D-FD7E8C10838E}"/>
            </a:ext>
          </a:extLst>
        </xdr:cNvPr>
        <xdr:cNvCxnSpPr/>
      </xdr:nvCxnSpPr>
      <xdr:spPr>
        <a:xfrm>
          <a:off x="17386011" y="27613178"/>
          <a:ext cx="347382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5688</xdr:colOff>
      <xdr:row>90</xdr:row>
      <xdr:rowOff>203589</xdr:rowOff>
    </xdr:from>
    <xdr:to>
      <xdr:col>51</xdr:col>
      <xdr:colOff>5688</xdr:colOff>
      <xdr:row>90</xdr:row>
      <xdr:rowOff>203589</xdr:rowOff>
    </xdr:to>
    <xdr:cxnSp macro="">
      <xdr:nvCxnSpPr>
        <xdr:cNvPr id="164" name="直線コネクタ 163">
          <a:extLst>
            <a:ext uri="{FF2B5EF4-FFF2-40B4-BE49-F238E27FC236}">
              <a16:creationId xmlns:a16="http://schemas.microsoft.com/office/drawing/2014/main" id="{7DB4273D-4B69-41F2-9A9B-290630C2FE98}"/>
            </a:ext>
          </a:extLst>
        </xdr:cNvPr>
        <xdr:cNvCxnSpPr/>
      </xdr:nvCxnSpPr>
      <xdr:spPr>
        <a:xfrm>
          <a:off x="17374806" y="27433883"/>
          <a:ext cx="347382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</xdr:row>
      <xdr:rowOff>22413</xdr:rowOff>
    </xdr:from>
    <xdr:to>
      <xdr:col>6</xdr:col>
      <xdr:colOff>0</xdr:colOff>
      <xdr:row>5</xdr:row>
      <xdr:rowOff>22413</xdr:rowOff>
    </xdr:to>
    <xdr:cxnSp macro="">
      <xdr:nvCxnSpPr>
        <xdr:cNvPr id="165" name="直線コネクタ 164">
          <a:extLst>
            <a:ext uri="{FF2B5EF4-FFF2-40B4-BE49-F238E27FC236}">
              <a16:creationId xmlns:a16="http://schemas.microsoft.com/office/drawing/2014/main" id="{D7CB929C-0021-43BF-8C52-FA05615EC072}"/>
            </a:ext>
          </a:extLst>
        </xdr:cNvPr>
        <xdr:cNvCxnSpPr/>
      </xdr:nvCxnSpPr>
      <xdr:spPr>
        <a:xfrm>
          <a:off x="1736912" y="1535207"/>
          <a:ext cx="347382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22412</xdr:colOff>
      <xdr:row>15</xdr:row>
      <xdr:rowOff>1</xdr:rowOff>
    </xdr:from>
    <xdr:to>
      <xdr:col>9</xdr:col>
      <xdr:colOff>22412</xdr:colOff>
      <xdr:row>15</xdr:row>
      <xdr:rowOff>1</xdr:rowOff>
    </xdr:to>
    <xdr:cxnSp macro="">
      <xdr:nvCxnSpPr>
        <xdr:cNvPr id="166" name="直線コネクタ 165">
          <a:extLst>
            <a:ext uri="{FF2B5EF4-FFF2-40B4-BE49-F238E27FC236}">
              <a16:creationId xmlns:a16="http://schemas.microsoft.com/office/drawing/2014/main" id="{8FA6AD18-E152-4E1B-9329-550BDC8CCE7F}"/>
            </a:ext>
          </a:extLst>
        </xdr:cNvPr>
        <xdr:cNvCxnSpPr/>
      </xdr:nvCxnSpPr>
      <xdr:spPr>
        <a:xfrm>
          <a:off x="2801471" y="4538383"/>
          <a:ext cx="347382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336176</xdr:colOff>
      <xdr:row>14</xdr:row>
      <xdr:rowOff>201706</xdr:rowOff>
    </xdr:from>
    <xdr:to>
      <xdr:col>11</xdr:col>
      <xdr:colOff>336175</xdr:colOff>
      <xdr:row>14</xdr:row>
      <xdr:rowOff>201706</xdr:rowOff>
    </xdr:to>
    <xdr:cxnSp macro="">
      <xdr:nvCxnSpPr>
        <xdr:cNvPr id="167" name="直線コネクタ 166">
          <a:extLst>
            <a:ext uri="{FF2B5EF4-FFF2-40B4-BE49-F238E27FC236}">
              <a16:creationId xmlns:a16="http://schemas.microsoft.com/office/drawing/2014/main" id="{45EC3794-EBBC-40C6-8C6C-6F8DA1426835}"/>
            </a:ext>
          </a:extLst>
        </xdr:cNvPr>
        <xdr:cNvCxnSpPr/>
      </xdr:nvCxnSpPr>
      <xdr:spPr>
        <a:xfrm>
          <a:off x="3810000" y="4437530"/>
          <a:ext cx="347381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339489</xdr:colOff>
      <xdr:row>15</xdr:row>
      <xdr:rowOff>113911</xdr:rowOff>
    </xdr:from>
    <xdr:to>
      <xdr:col>11</xdr:col>
      <xdr:colOff>339488</xdr:colOff>
      <xdr:row>15</xdr:row>
      <xdr:rowOff>113911</xdr:rowOff>
    </xdr:to>
    <xdr:cxnSp macro="">
      <xdr:nvCxnSpPr>
        <xdr:cNvPr id="168" name="直線コネクタ 167">
          <a:extLst>
            <a:ext uri="{FF2B5EF4-FFF2-40B4-BE49-F238E27FC236}">
              <a16:creationId xmlns:a16="http://schemas.microsoft.com/office/drawing/2014/main" id="{6B2AA93F-AFD3-4F25-A29B-043E754FAE2A}"/>
            </a:ext>
          </a:extLst>
        </xdr:cNvPr>
        <xdr:cNvCxnSpPr/>
      </xdr:nvCxnSpPr>
      <xdr:spPr>
        <a:xfrm>
          <a:off x="3813313" y="4652293"/>
          <a:ext cx="347381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</xdr:colOff>
      <xdr:row>14</xdr:row>
      <xdr:rowOff>179294</xdr:rowOff>
    </xdr:from>
    <xdr:to>
      <xdr:col>27</xdr:col>
      <xdr:colOff>-1</xdr:colOff>
      <xdr:row>14</xdr:row>
      <xdr:rowOff>179294</xdr:rowOff>
    </xdr:to>
    <xdr:cxnSp macro="">
      <xdr:nvCxnSpPr>
        <xdr:cNvPr id="169" name="直線コネクタ 168">
          <a:extLst>
            <a:ext uri="{FF2B5EF4-FFF2-40B4-BE49-F238E27FC236}">
              <a16:creationId xmlns:a16="http://schemas.microsoft.com/office/drawing/2014/main" id="{C212CB17-047F-4448-9C5A-38BD141F8CA0}"/>
            </a:ext>
          </a:extLst>
        </xdr:cNvPr>
        <xdr:cNvCxnSpPr/>
      </xdr:nvCxnSpPr>
      <xdr:spPr>
        <a:xfrm>
          <a:off x="9031942" y="4415118"/>
          <a:ext cx="347381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3314</xdr:colOff>
      <xdr:row>15</xdr:row>
      <xdr:rowOff>91499</xdr:rowOff>
    </xdr:from>
    <xdr:to>
      <xdr:col>27</xdr:col>
      <xdr:colOff>3312</xdr:colOff>
      <xdr:row>15</xdr:row>
      <xdr:rowOff>91499</xdr:rowOff>
    </xdr:to>
    <xdr:cxnSp macro="">
      <xdr:nvCxnSpPr>
        <xdr:cNvPr id="170" name="直線コネクタ 169">
          <a:extLst>
            <a:ext uri="{FF2B5EF4-FFF2-40B4-BE49-F238E27FC236}">
              <a16:creationId xmlns:a16="http://schemas.microsoft.com/office/drawing/2014/main" id="{F7CB240A-AAAF-4C41-82BC-8D5046D64D40}"/>
            </a:ext>
          </a:extLst>
        </xdr:cNvPr>
        <xdr:cNvCxnSpPr/>
      </xdr:nvCxnSpPr>
      <xdr:spPr>
        <a:xfrm>
          <a:off x="9035255" y="4629881"/>
          <a:ext cx="347381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11206</xdr:colOff>
      <xdr:row>14</xdr:row>
      <xdr:rowOff>235323</xdr:rowOff>
    </xdr:from>
    <xdr:to>
      <xdr:col>42</xdr:col>
      <xdr:colOff>11204</xdr:colOff>
      <xdr:row>14</xdr:row>
      <xdr:rowOff>235323</xdr:rowOff>
    </xdr:to>
    <xdr:cxnSp macro="">
      <xdr:nvCxnSpPr>
        <xdr:cNvPr id="171" name="直線コネクタ 170">
          <a:extLst>
            <a:ext uri="{FF2B5EF4-FFF2-40B4-BE49-F238E27FC236}">
              <a16:creationId xmlns:a16="http://schemas.microsoft.com/office/drawing/2014/main" id="{B19B82B1-69D7-4697-9420-8AE3F4A61841}"/>
            </a:ext>
          </a:extLst>
        </xdr:cNvPr>
        <xdr:cNvCxnSpPr/>
      </xdr:nvCxnSpPr>
      <xdr:spPr>
        <a:xfrm>
          <a:off x="14253882" y="4471147"/>
          <a:ext cx="347381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14519</xdr:colOff>
      <xdr:row>15</xdr:row>
      <xdr:rowOff>147528</xdr:rowOff>
    </xdr:from>
    <xdr:to>
      <xdr:col>42</xdr:col>
      <xdr:colOff>14517</xdr:colOff>
      <xdr:row>15</xdr:row>
      <xdr:rowOff>147528</xdr:rowOff>
    </xdr:to>
    <xdr:cxnSp macro="">
      <xdr:nvCxnSpPr>
        <xdr:cNvPr id="172" name="直線コネクタ 171">
          <a:extLst>
            <a:ext uri="{FF2B5EF4-FFF2-40B4-BE49-F238E27FC236}">
              <a16:creationId xmlns:a16="http://schemas.microsoft.com/office/drawing/2014/main" id="{72C80283-1BB9-44A5-80D9-6FA1E27D8367}"/>
            </a:ext>
          </a:extLst>
        </xdr:cNvPr>
        <xdr:cNvCxnSpPr/>
      </xdr:nvCxnSpPr>
      <xdr:spPr>
        <a:xfrm>
          <a:off x="14257195" y="4685910"/>
          <a:ext cx="347381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22411</xdr:colOff>
      <xdr:row>14</xdr:row>
      <xdr:rowOff>179294</xdr:rowOff>
    </xdr:from>
    <xdr:to>
      <xdr:col>57</xdr:col>
      <xdr:colOff>22410</xdr:colOff>
      <xdr:row>14</xdr:row>
      <xdr:rowOff>179294</xdr:rowOff>
    </xdr:to>
    <xdr:cxnSp macro="">
      <xdr:nvCxnSpPr>
        <xdr:cNvPr id="173" name="直線コネクタ 172">
          <a:extLst>
            <a:ext uri="{FF2B5EF4-FFF2-40B4-BE49-F238E27FC236}">
              <a16:creationId xmlns:a16="http://schemas.microsoft.com/office/drawing/2014/main" id="{06FBCAA2-08EB-460F-8B29-1F79E9CBBBB5}"/>
            </a:ext>
          </a:extLst>
        </xdr:cNvPr>
        <xdr:cNvCxnSpPr/>
      </xdr:nvCxnSpPr>
      <xdr:spPr>
        <a:xfrm>
          <a:off x="19475823" y="4415118"/>
          <a:ext cx="347381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25724</xdr:colOff>
      <xdr:row>15</xdr:row>
      <xdr:rowOff>91499</xdr:rowOff>
    </xdr:from>
    <xdr:to>
      <xdr:col>57</xdr:col>
      <xdr:colOff>25723</xdr:colOff>
      <xdr:row>15</xdr:row>
      <xdr:rowOff>91499</xdr:rowOff>
    </xdr:to>
    <xdr:cxnSp macro="">
      <xdr:nvCxnSpPr>
        <xdr:cNvPr id="174" name="直線コネクタ 173">
          <a:extLst>
            <a:ext uri="{FF2B5EF4-FFF2-40B4-BE49-F238E27FC236}">
              <a16:creationId xmlns:a16="http://schemas.microsoft.com/office/drawing/2014/main" id="{D65D0484-CFF1-429D-BC97-880AC433F553}"/>
            </a:ext>
          </a:extLst>
        </xdr:cNvPr>
        <xdr:cNvCxnSpPr/>
      </xdr:nvCxnSpPr>
      <xdr:spPr>
        <a:xfrm>
          <a:off x="19479136" y="4629881"/>
          <a:ext cx="347381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38100"/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55B6-9C39-4220-8847-BD6A8BD4D333}">
  <dimension ref="B1:C22"/>
  <sheetViews>
    <sheetView workbookViewId="0">
      <selection activeCell="C11" sqref="C11"/>
    </sheetView>
  </sheetViews>
  <sheetFormatPr defaultColWidth="5" defaultRowHeight="19.2" x14ac:dyDescent="0.45"/>
  <cols>
    <col min="1" max="1" width="5" style="473"/>
    <col min="2" max="2" width="5" style="474"/>
    <col min="3" max="3" width="5" style="476"/>
    <col min="4" max="16384" width="5" style="473"/>
  </cols>
  <sheetData>
    <row r="1" spans="2:3" x14ac:dyDescent="0.45">
      <c r="B1" s="474">
        <f>ROW()</f>
        <v>1</v>
      </c>
      <c r="C1" s="475" t="s">
        <v>252</v>
      </c>
    </row>
    <row r="2" spans="2:3" x14ac:dyDescent="0.45">
      <c r="B2" s="474">
        <f>ROW()</f>
        <v>2</v>
      </c>
      <c r="C2" s="475" t="s">
        <v>253</v>
      </c>
    </row>
    <row r="3" spans="2:3" x14ac:dyDescent="0.45">
      <c r="B3" s="474">
        <f>ROW()</f>
        <v>3</v>
      </c>
      <c r="C3" s="475" t="s">
        <v>399</v>
      </c>
    </row>
    <row r="4" spans="2:3" x14ac:dyDescent="0.45">
      <c r="B4" s="474">
        <f>ROW()</f>
        <v>4</v>
      </c>
      <c r="C4" s="475" t="s">
        <v>403</v>
      </c>
    </row>
    <row r="5" spans="2:3" x14ac:dyDescent="0.45">
      <c r="B5" s="474">
        <f>ROW()</f>
        <v>5</v>
      </c>
      <c r="C5" s="475" t="s">
        <v>404</v>
      </c>
    </row>
    <row r="6" spans="2:3" x14ac:dyDescent="0.45">
      <c r="B6" s="474">
        <f>ROW()</f>
        <v>6</v>
      </c>
      <c r="C6" s="475" t="s">
        <v>405</v>
      </c>
    </row>
    <row r="7" spans="2:3" x14ac:dyDescent="0.45">
      <c r="B7" s="474">
        <f>ROW()</f>
        <v>7</v>
      </c>
      <c r="C7" s="475" t="s">
        <v>414</v>
      </c>
    </row>
    <row r="8" spans="2:3" x14ac:dyDescent="0.45">
      <c r="B8" s="474">
        <f>ROW()</f>
        <v>8</v>
      </c>
      <c r="C8" s="475" t="s">
        <v>406</v>
      </c>
    </row>
    <row r="9" spans="2:3" x14ac:dyDescent="0.45">
      <c r="B9" s="474">
        <f>ROW()</f>
        <v>9</v>
      </c>
      <c r="C9" s="475" t="s">
        <v>415</v>
      </c>
    </row>
    <row r="10" spans="2:3" x14ac:dyDescent="0.45">
      <c r="B10" s="474">
        <f>ROW()</f>
        <v>10</v>
      </c>
      <c r="C10" s="475" t="s">
        <v>417</v>
      </c>
    </row>
    <row r="11" spans="2:3" x14ac:dyDescent="0.45">
      <c r="B11" s="474">
        <f>ROW()</f>
        <v>11</v>
      </c>
      <c r="C11" s="475" t="s">
        <v>407</v>
      </c>
    </row>
    <row r="12" spans="2:3" x14ac:dyDescent="0.45">
      <c r="B12" s="474">
        <f>ROW()</f>
        <v>12</v>
      </c>
      <c r="C12" s="475" t="s">
        <v>411</v>
      </c>
    </row>
    <row r="13" spans="2:3" x14ac:dyDescent="0.45">
      <c r="B13" s="474">
        <f>ROW()</f>
        <v>13</v>
      </c>
      <c r="C13" s="475" t="s">
        <v>412</v>
      </c>
    </row>
    <row r="14" spans="2:3" x14ac:dyDescent="0.45">
      <c r="B14" s="474">
        <f>ROW()</f>
        <v>14</v>
      </c>
      <c r="C14" s="475" t="s">
        <v>413</v>
      </c>
    </row>
    <row r="15" spans="2:3" x14ac:dyDescent="0.45">
      <c r="B15" s="474">
        <f>ROW()</f>
        <v>15</v>
      </c>
      <c r="C15" s="475" t="s">
        <v>408</v>
      </c>
    </row>
    <row r="16" spans="2:3" x14ac:dyDescent="0.45">
      <c r="B16" s="474">
        <f>ROW()</f>
        <v>16</v>
      </c>
      <c r="C16" s="475" t="s">
        <v>409</v>
      </c>
    </row>
    <row r="17" spans="2:3" x14ac:dyDescent="0.45">
      <c r="B17" s="474">
        <f>ROW()</f>
        <v>17</v>
      </c>
      <c r="C17" s="475" t="s">
        <v>410</v>
      </c>
    </row>
    <row r="18" spans="2:3" x14ac:dyDescent="0.45">
      <c r="B18" s="474">
        <f>ROW()</f>
        <v>18</v>
      </c>
    </row>
    <row r="19" spans="2:3" x14ac:dyDescent="0.45">
      <c r="B19" s="474">
        <f>ROW()</f>
        <v>19</v>
      </c>
    </row>
    <row r="20" spans="2:3" x14ac:dyDescent="0.45">
      <c r="B20" s="474">
        <f>ROW()</f>
        <v>20</v>
      </c>
    </row>
    <row r="21" spans="2:3" x14ac:dyDescent="0.45">
      <c r="B21" s="474">
        <f>ROW()</f>
        <v>21</v>
      </c>
    </row>
    <row r="22" spans="2:3" x14ac:dyDescent="0.45">
      <c r="B22" s="474">
        <f>ROW()</f>
        <v>22</v>
      </c>
    </row>
  </sheetData>
  <phoneticPr fontId="2"/>
  <hyperlinks>
    <hyperlink ref="C1" location="元素表!A1" display="元素表" xr:uid="{93CCEDD4-F4B8-47DF-BE61-92795CAA8905}"/>
    <hyperlink ref="C2" location="FlipFlop!A1" display="FlipFlop" xr:uid="{9A93D7D2-9E39-485E-AC0F-E3D9F2FE51A9}"/>
    <hyperlink ref="C5" location="'V6I2-'!A1" display="Volume6-IssueI2-" xr:uid="{937EA056-8883-454C-AAC7-5F5994EAD5D3}"/>
    <hyperlink ref="C6" location="'V6I3-'!A1" display="Volume6-Issue3-" xr:uid="{5B141129-B22D-4F54-AB96-734CDF0A728C}"/>
    <hyperlink ref="C8" location="'V7I6-'!A1" display="Volume7-Issue6-" xr:uid="{8FBE6B55-29DD-42D1-8321-F126798B33C6}"/>
    <hyperlink ref="C12" location="'V9i7-1'!A1" display="Volume9-Issue7-1" xr:uid="{DB30A129-5716-40E5-8F15-51032B97F629}"/>
    <hyperlink ref="C15" location="'V9I9-'!A1" display="Volume9-Issue9-" xr:uid="{5AC92D9E-00F7-4C3A-905A-CADA2E897CF2}"/>
    <hyperlink ref="C13" location="'V9I7-2'!A1" display="Volume9-Issue7-2" xr:uid="{81CCD989-746F-4E84-93DA-9F75C0ABAF72}"/>
    <hyperlink ref="C11" location="'V9I4-2'!A1" display="Volume9-Issue4-Modern Alchemy" xr:uid="{AF19BCF5-D9AC-43CC-A0F4-1287FF485C09}"/>
    <hyperlink ref="C4" location="'V5I5-2'!A1" display="Vlume5-Issue5-Back to Basics" xr:uid="{92B84DA4-987B-40DE-BBF9-463BDA08980F}"/>
    <hyperlink ref="C3" location="V2I4!A1" display="Volume2-Issue4" xr:uid="{85EBA5C2-9AC4-45C4-95D2-6E94A352D3B1}"/>
    <hyperlink ref="C16" location="'V9I12-'!A1" display="Volume9-Issued12" xr:uid="{FDCC168F-18ED-4BE6-BA35-EC505BA29890}"/>
    <hyperlink ref="C17" location="'V9I8-'!A1" display="Volume9-Issued8" xr:uid="{8AD7B46C-A7A3-4348-9E3E-344BE2F36225}"/>
    <hyperlink ref="C14" location="'V9I7-3'!A1" display="Volume9-Issue7-3" xr:uid="{59A6883E-971F-445E-9FE7-2DE17D4F28CF}"/>
    <hyperlink ref="C7" location="'V7I3-3'!A1" display="Volume7-Issue3-Homegenizer" xr:uid="{2A5FCD6A-46B0-4206-98BD-273E422B48A8}"/>
    <hyperlink ref="C9" location="'V7I4-3'!A1" display="Volume7-Issue4-3" xr:uid="{2E7544EF-7DC9-4EA1-9B0F-D589F4B139FB}"/>
    <hyperlink ref="C10" location="'V9I1-1'!A1" display="Volum9-Issue1-1" xr:uid="{6927FE87-8FDA-4953-BB29-F1EA512A68A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E7B9A-F1A9-4F92-B4A1-CDC286B28894}">
  <dimension ref="A1:BC51"/>
  <sheetViews>
    <sheetView showGridLines="0" zoomScale="85" zoomScaleNormal="85" workbookViewId="0">
      <selection activeCell="O4" sqref="O4"/>
    </sheetView>
  </sheetViews>
  <sheetFormatPr defaultColWidth="5" defaultRowHeight="22.2" x14ac:dyDescent="0.45"/>
  <cols>
    <col min="1" max="6" width="5" style="73"/>
    <col min="7" max="7" width="3.19921875" style="73" customWidth="1"/>
    <col min="8" max="16384" width="5" style="73"/>
  </cols>
  <sheetData>
    <row r="1" spans="1:55" x14ac:dyDescent="0.45">
      <c r="A1" s="75">
        <v>1</v>
      </c>
      <c r="B1" s="76"/>
      <c r="C1" s="77">
        <v>1</v>
      </c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112">
        <v>2</v>
      </c>
      <c r="BB1" s="113"/>
      <c r="BC1" s="114">
        <v>0</v>
      </c>
    </row>
    <row r="2" spans="1:55" x14ac:dyDescent="0.45">
      <c r="A2" s="400" t="s">
        <v>115</v>
      </c>
      <c r="B2" s="401"/>
      <c r="C2" s="402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115"/>
      <c r="BB2" s="116" t="s">
        <v>158</v>
      </c>
      <c r="BC2" s="117"/>
    </row>
    <row r="3" spans="1:55" ht="45" customHeight="1" x14ac:dyDescent="0.45">
      <c r="A3" s="352" t="s">
        <v>278</v>
      </c>
      <c r="B3" s="353"/>
      <c r="C3" s="35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382" t="s">
        <v>279</v>
      </c>
      <c r="BB3" s="362"/>
      <c r="BC3" s="363"/>
    </row>
    <row r="4" spans="1:55" x14ac:dyDescent="0.45">
      <c r="A4" s="75">
        <v>3</v>
      </c>
      <c r="B4" s="76"/>
      <c r="C4" s="77">
        <v>1</v>
      </c>
      <c r="D4" s="81">
        <v>4</v>
      </c>
      <c r="E4" s="82"/>
      <c r="F4" s="83">
        <v>2</v>
      </c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213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87">
        <v>5</v>
      </c>
      <c r="AM4" s="88"/>
      <c r="AN4" s="89">
        <v>3</v>
      </c>
      <c r="AO4" s="93">
        <v>6</v>
      </c>
      <c r="AP4" s="94"/>
      <c r="AQ4" s="95">
        <v>4</v>
      </c>
      <c r="AR4" s="99">
        <v>7</v>
      </c>
      <c r="AS4" s="100"/>
      <c r="AT4" s="101">
        <v>5</v>
      </c>
      <c r="AU4" s="81">
        <v>8</v>
      </c>
      <c r="AV4" s="82"/>
      <c r="AW4" s="83">
        <v>2</v>
      </c>
      <c r="AX4" s="75">
        <v>9</v>
      </c>
      <c r="AY4" s="76"/>
      <c r="AZ4" s="77">
        <v>1</v>
      </c>
      <c r="BA4" s="112">
        <v>10</v>
      </c>
      <c r="BB4" s="113"/>
      <c r="BC4" s="114">
        <v>0</v>
      </c>
    </row>
    <row r="5" spans="1:55" x14ac:dyDescent="0.45">
      <c r="A5" s="400" t="s">
        <v>92</v>
      </c>
      <c r="B5" s="406"/>
      <c r="C5" s="407"/>
      <c r="D5" s="349" t="s">
        <v>118</v>
      </c>
      <c r="E5" s="350"/>
      <c r="F5" s="351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90"/>
      <c r="AM5" s="91" t="s">
        <v>193</v>
      </c>
      <c r="AN5" s="92"/>
      <c r="AO5" s="96"/>
      <c r="AP5" s="97" t="s">
        <v>43</v>
      </c>
      <c r="AQ5" s="98"/>
      <c r="AR5" s="102" t="s">
        <v>154</v>
      </c>
      <c r="AS5" s="103" t="s">
        <v>0</v>
      </c>
      <c r="AT5" s="104"/>
      <c r="AU5" s="84"/>
      <c r="AV5" s="85" t="s">
        <v>155</v>
      </c>
      <c r="AW5" s="86"/>
      <c r="AX5" s="78"/>
      <c r="AY5" s="79" t="s">
        <v>156</v>
      </c>
      <c r="AZ5" s="80"/>
      <c r="BA5" s="115"/>
      <c r="BB5" s="116" t="s">
        <v>157</v>
      </c>
      <c r="BC5" s="117"/>
    </row>
    <row r="6" spans="1:55" ht="45" customHeight="1" x14ac:dyDescent="0.45">
      <c r="A6" s="352" t="s">
        <v>280</v>
      </c>
      <c r="B6" s="353"/>
      <c r="C6" s="354"/>
      <c r="D6" s="355" t="s">
        <v>281</v>
      </c>
      <c r="E6" s="356"/>
      <c r="F6" s="357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377" t="s">
        <v>329</v>
      </c>
      <c r="AM6" s="347"/>
      <c r="AN6" s="348"/>
      <c r="AO6" s="371" t="s">
        <v>334</v>
      </c>
      <c r="AP6" s="372"/>
      <c r="AQ6" s="373"/>
      <c r="AR6" s="380" t="s">
        <v>343</v>
      </c>
      <c r="AS6" s="368"/>
      <c r="AT6" s="369"/>
      <c r="AU6" s="378" t="s">
        <v>344</v>
      </c>
      <c r="AV6" s="356"/>
      <c r="AW6" s="357"/>
      <c r="AX6" s="383" t="s">
        <v>353</v>
      </c>
      <c r="AY6" s="353"/>
      <c r="AZ6" s="354"/>
      <c r="BA6" s="381" t="s">
        <v>354</v>
      </c>
      <c r="BB6" s="362"/>
      <c r="BC6" s="363"/>
    </row>
    <row r="7" spans="1:55" x14ac:dyDescent="0.45">
      <c r="A7" s="75">
        <v>11</v>
      </c>
      <c r="B7" s="76"/>
      <c r="C7" s="77">
        <v>1</v>
      </c>
      <c r="D7" s="81">
        <v>12</v>
      </c>
      <c r="E7" s="82"/>
      <c r="F7" s="83">
        <v>2</v>
      </c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87">
        <v>13</v>
      </c>
      <c r="AM7" s="88"/>
      <c r="AN7" s="89">
        <v>3</v>
      </c>
      <c r="AO7" s="93">
        <v>14</v>
      </c>
      <c r="AP7" s="94"/>
      <c r="AQ7" s="95">
        <v>4</v>
      </c>
      <c r="AR7" s="99">
        <v>15</v>
      </c>
      <c r="AS7" s="100"/>
      <c r="AT7" s="101">
        <v>5</v>
      </c>
      <c r="AU7" s="105">
        <v>16</v>
      </c>
      <c r="AV7" s="106"/>
      <c r="AW7" s="107">
        <v>6</v>
      </c>
      <c r="AX7" s="105">
        <v>17</v>
      </c>
      <c r="AY7" s="106"/>
      <c r="AZ7" s="107">
        <v>7</v>
      </c>
      <c r="BA7" s="112">
        <v>18</v>
      </c>
      <c r="BB7" s="113"/>
      <c r="BC7" s="114">
        <v>0</v>
      </c>
    </row>
    <row r="8" spans="1:55" x14ac:dyDescent="0.45">
      <c r="A8" s="400" t="s">
        <v>120</v>
      </c>
      <c r="B8" s="401"/>
      <c r="C8" s="402"/>
      <c r="D8" s="349" t="s">
        <v>122</v>
      </c>
      <c r="E8" s="350"/>
      <c r="F8" s="351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90"/>
      <c r="AM8" s="91" t="s">
        <v>93</v>
      </c>
      <c r="AN8" s="92"/>
      <c r="AO8" s="96"/>
      <c r="AP8" s="97" t="s">
        <v>44</v>
      </c>
      <c r="AQ8" s="98"/>
      <c r="AR8" s="102"/>
      <c r="AS8" s="103" t="s">
        <v>1</v>
      </c>
      <c r="AT8" s="104"/>
      <c r="AU8" s="108"/>
      <c r="AV8" s="111" t="s">
        <v>2</v>
      </c>
      <c r="AW8" s="110"/>
      <c r="AX8" s="108"/>
      <c r="AY8" s="109" t="s">
        <v>3</v>
      </c>
      <c r="AZ8" s="110"/>
      <c r="BA8" s="115"/>
      <c r="BB8" s="116" t="s">
        <v>159</v>
      </c>
      <c r="BC8" s="117"/>
    </row>
    <row r="9" spans="1:55" ht="45" customHeight="1" x14ac:dyDescent="0.45">
      <c r="A9" s="352" t="s">
        <v>282</v>
      </c>
      <c r="B9" s="353"/>
      <c r="C9" s="354"/>
      <c r="D9" s="355" t="s">
        <v>283</v>
      </c>
      <c r="E9" s="356"/>
      <c r="F9" s="357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346" t="s">
        <v>330</v>
      </c>
      <c r="AM9" s="347"/>
      <c r="AN9" s="348"/>
      <c r="AO9" s="371" t="s">
        <v>335</v>
      </c>
      <c r="AP9" s="372"/>
      <c r="AQ9" s="373"/>
      <c r="AR9" s="380" t="s">
        <v>342</v>
      </c>
      <c r="AS9" s="368"/>
      <c r="AT9" s="369"/>
      <c r="AU9" s="379" t="s">
        <v>345</v>
      </c>
      <c r="AV9" s="365"/>
      <c r="AW9" s="366"/>
      <c r="AX9" s="384" t="s">
        <v>352</v>
      </c>
      <c r="AY9" s="365"/>
      <c r="AZ9" s="366"/>
      <c r="BA9" s="361" t="s">
        <v>355</v>
      </c>
      <c r="BB9" s="362"/>
      <c r="BC9" s="363"/>
    </row>
    <row r="10" spans="1:55" x14ac:dyDescent="0.45">
      <c r="A10" s="75">
        <v>19</v>
      </c>
      <c r="B10" s="76"/>
      <c r="C10" s="77">
        <v>1</v>
      </c>
      <c r="D10" s="81">
        <v>20</v>
      </c>
      <c r="E10" s="82"/>
      <c r="F10" s="83">
        <v>2</v>
      </c>
      <c r="G10" s="74"/>
      <c r="H10" s="87">
        <v>21</v>
      </c>
      <c r="I10" s="88"/>
      <c r="J10" s="89">
        <v>3</v>
      </c>
      <c r="K10" s="93">
        <v>22</v>
      </c>
      <c r="L10" s="94"/>
      <c r="M10" s="95">
        <v>4</v>
      </c>
      <c r="N10" s="99">
        <v>23</v>
      </c>
      <c r="O10" s="100"/>
      <c r="P10" s="101">
        <v>5</v>
      </c>
      <c r="Q10" s="105">
        <v>24</v>
      </c>
      <c r="R10" s="106"/>
      <c r="S10" s="107">
        <v>6</v>
      </c>
      <c r="T10" s="105">
        <v>25</v>
      </c>
      <c r="U10" s="106"/>
      <c r="V10" s="107">
        <v>7</v>
      </c>
      <c r="W10" s="105">
        <v>26</v>
      </c>
      <c r="X10" s="106"/>
      <c r="Y10" s="107">
        <v>6</v>
      </c>
      <c r="Z10" s="99">
        <v>27</v>
      </c>
      <c r="AA10" s="100"/>
      <c r="AB10" s="101">
        <v>5</v>
      </c>
      <c r="AC10" s="93">
        <v>28</v>
      </c>
      <c r="AD10" s="94"/>
      <c r="AE10" s="95">
        <v>4</v>
      </c>
      <c r="AF10" s="93">
        <v>29</v>
      </c>
      <c r="AG10" s="94"/>
      <c r="AH10" s="95">
        <v>4</v>
      </c>
      <c r="AI10" s="81">
        <v>30</v>
      </c>
      <c r="AJ10" s="82"/>
      <c r="AK10" s="83">
        <v>2</v>
      </c>
      <c r="AL10" s="87">
        <v>31</v>
      </c>
      <c r="AM10" s="88"/>
      <c r="AN10" s="89">
        <v>3</v>
      </c>
      <c r="AO10" s="93">
        <v>32</v>
      </c>
      <c r="AP10" s="94"/>
      <c r="AQ10" s="95">
        <v>4</v>
      </c>
      <c r="AR10" s="99">
        <v>33</v>
      </c>
      <c r="AS10" s="100"/>
      <c r="AT10" s="101">
        <v>5</v>
      </c>
      <c r="AU10" s="105">
        <v>34</v>
      </c>
      <c r="AV10" s="106"/>
      <c r="AW10" s="107">
        <v>6</v>
      </c>
      <c r="AX10" s="105">
        <v>35</v>
      </c>
      <c r="AY10" s="106"/>
      <c r="AZ10" s="107">
        <v>7</v>
      </c>
      <c r="BA10" s="112">
        <v>36</v>
      </c>
      <c r="BB10" s="113"/>
      <c r="BC10" s="114">
        <v>0</v>
      </c>
    </row>
    <row r="11" spans="1:55" x14ac:dyDescent="0.45">
      <c r="A11" s="400" t="s">
        <v>124</v>
      </c>
      <c r="B11" s="401"/>
      <c r="C11" s="402"/>
      <c r="D11" s="84"/>
      <c r="E11" s="85" t="s">
        <v>126</v>
      </c>
      <c r="F11" s="86"/>
      <c r="G11" s="74"/>
      <c r="H11" s="390" t="s">
        <v>140</v>
      </c>
      <c r="I11" s="391"/>
      <c r="J11" s="392"/>
      <c r="K11" s="96"/>
      <c r="L11" s="97" t="s">
        <v>45</v>
      </c>
      <c r="M11" s="98"/>
      <c r="N11" s="102"/>
      <c r="O11" s="103" t="s">
        <v>4</v>
      </c>
      <c r="P11" s="104"/>
      <c r="Q11" s="108"/>
      <c r="R11" s="109" t="s">
        <v>5</v>
      </c>
      <c r="S11" s="110"/>
      <c r="T11" s="108"/>
      <c r="U11" s="109" t="s">
        <v>6</v>
      </c>
      <c r="V11" s="110"/>
      <c r="W11" s="108"/>
      <c r="X11" s="109" t="s">
        <v>7</v>
      </c>
      <c r="Y11" s="110"/>
      <c r="Z11" s="102"/>
      <c r="AA11" s="103" t="s">
        <v>8</v>
      </c>
      <c r="AB11" s="104"/>
      <c r="AC11" s="96"/>
      <c r="AD11" s="97" t="s">
        <v>46</v>
      </c>
      <c r="AE11" s="98"/>
      <c r="AF11" s="96"/>
      <c r="AG11" s="97" t="s">
        <v>47</v>
      </c>
      <c r="AH11" s="98"/>
      <c r="AI11" s="84"/>
      <c r="AJ11" s="85" t="s">
        <v>160</v>
      </c>
      <c r="AK11" s="86"/>
      <c r="AL11" s="90"/>
      <c r="AM11" s="91" t="s">
        <v>161</v>
      </c>
      <c r="AN11" s="92"/>
      <c r="AO11" s="96"/>
      <c r="AP11" s="97" t="s">
        <v>48</v>
      </c>
      <c r="AQ11" s="98"/>
      <c r="AR11" s="102"/>
      <c r="AS11" s="103" t="s">
        <v>9</v>
      </c>
      <c r="AT11" s="104"/>
      <c r="AU11" s="108"/>
      <c r="AV11" s="109" t="s">
        <v>10</v>
      </c>
      <c r="AW11" s="110"/>
      <c r="AX11" s="108"/>
      <c r="AY11" s="109" t="s">
        <v>11</v>
      </c>
      <c r="AZ11" s="110"/>
      <c r="BA11" s="115"/>
      <c r="BB11" s="116" t="s">
        <v>162</v>
      </c>
      <c r="BC11" s="117"/>
    </row>
    <row r="12" spans="1:55" ht="45" customHeight="1" x14ac:dyDescent="0.45">
      <c r="A12" s="352" t="s">
        <v>284</v>
      </c>
      <c r="B12" s="353"/>
      <c r="C12" s="354"/>
      <c r="D12" s="355" t="s">
        <v>285</v>
      </c>
      <c r="E12" s="356"/>
      <c r="F12" s="357"/>
      <c r="G12" s="74"/>
      <c r="H12" s="346" t="s">
        <v>292</v>
      </c>
      <c r="I12" s="347"/>
      <c r="J12" s="348"/>
      <c r="K12" s="374" t="s">
        <v>296</v>
      </c>
      <c r="L12" s="372"/>
      <c r="M12" s="373"/>
      <c r="N12" s="367" t="s">
        <v>297</v>
      </c>
      <c r="O12" s="368"/>
      <c r="P12" s="369"/>
      <c r="Q12" s="364" t="s">
        <v>304</v>
      </c>
      <c r="R12" s="365"/>
      <c r="S12" s="366"/>
      <c r="T12" s="385" t="s">
        <v>200</v>
      </c>
      <c r="U12" s="365"/>
      <c r="V12" s="366"/>
      <c r="W12" s="364" t="s">
        <v>312</v>
      </c>
      <c r="X12" s="365"/>
      <c r="Y12" s="366"/>
      <c r="Z12" s="367" t="s">
        <v>313</v>
      </c>
      <c r="AA12" s="368"/>
      <c r="AB12" s="369"/>
      <c r="AC12" s="374" t="s">
        <v>320</v>
      </c>
      <c r="AD12" s="372"/>
      <c r="AE12" s="373"/>
      <c r="AF12" s="374" t="s">
        <v>321</v>
      </c>
      <c r="AG12" s="372"/>
      <c r="AH12" s="373"/>
      <c r="AI12" s="355" t="s">
        <v>328</v>
      </c>
      <c r="AJ12" s="356"/>
      <c r="AK12" s="357"/>
      <c r="AL12" s="346" t="s">
        <v>331</v>
      </c>
      <c r="AM12" s="347"/>
      <c r="AN12" s="348"/>
      <c r="AO12" s="374" t="s">
        <v>336</v>
      </c>
      <c r="AP12" s="372"/>
      <c r="AQ12" s="373"/>
      <c r="AR12" s="380" t="s">
        <v>341</v>
      </c>
      <c r="AS12" s="368"/>
      <c r="AT12" s="369"/>
      <c r="AU12" s="379" t="s">
        <v>346</v>
      </c>
      <c r="AV12" s="365"/>
      <c r="AW12" s="366"/>
      <c r="AX12" s="379" t="s">
        <v>351</v>
      </c>
      <c r="AY12" s="365"/>
      <c r="AZ12" s="366"/>
      <c r="BA12" s="381" t="s">
        <v>356</v>
      </c>
      <c r="BB12" s="362"/>
      <c r="BC12" s="363"/>
    </row>
    <row r="13" spans="1:55" x14ac:dyDescent="0.45">
      <c r="A13" s="75">
        <v>37</v>
      </c>
      <c r="B13" s="76"/>
      <c r="C13" s="77">
        <v>1</v>
      </c>
      <c r="D13" s="81">
        <v>38</v>
      </c>
      <c r="E13" s="82"/>
      <c r="F13" s="83">
        <v>2</v>
      </c>
      <c r="G13" s="74"/>
      <c r="H13" s="87">
        <v>39</v>
      </c>
      <c r="I13" s="88"/>
      <c r="J13" s="89">
        <v>3</v>
      </c>
      <c r="K13" s="93">
        <v>40</v>
      </c>
      <c r="L13" s="94"/>
      <c r="M13" s="95">
        <v>4</v>
      </c>
      <c r="N13" s="99">
        <v>41</v>
      </c>
      <c r="O13" s="100"/>
      <c r="P13" s="101">
        <v>5</v>
      </c>
      <c r="Q13" s="105">
        <v>42</v>
      </c>
      <c r="R13" s="106"/>
      <c r="S13" s="107">
        <v>6</v>
      </c>
      <c r="T13" s="105">
        <v>43</v>
      </c>
      <c r="U13" s="106"/>
      <c r="V13" s="107">
        <v>7</v>
      </c>
      <c r="W13" s="105">
        <v>44</v>
      </c>
      <c r="X13" s="106"/>
      <c r="Y13" s="107">
        <v>8</v>
      </c>
      <c r="Z13" s="105">
        <v>45</v>
      </c>
      <c r="AA13" s="106"/>
      <c r="AB13" s="107">
        <v>6</v>
      </c>
      <c r="AC13" s="93">
        <v>46</v>
      </c>
      <c r="AD13" s="94"/>
      <c r="AE13" s="95">
        <v>4</v>
      </c>
      <c r="AF13" s="87">
        <v>47</v>
      </c>
      <c r="AG13" s="88"/>
      <c r="AH13" s="89">
        <v>3</v>
      </c>
      <c r="AI13" s="81">
        <v>48</v>
      </c>
      <c r="AJ13" s="82"/>
      <c r="AK13" s="83">
        <v>2</v>
      </c>
      <c r="AL13" s="87">
        <v>49</v>
      </c>
      <c r="AM13" s="88"/>
      <c r="AN13" s="89">
        <v>3</v>
      </c>
      <c r="AO13" s="93">
        <v>50</v>
      </c>
      <c r="AP13" s="94"/>
      <c r="AQ13" s="95">
        <v>4</v>
      </c>
      <c r="AR13" s="99">
        <v>51</v>
      </c>
      <c r="AS13" s="100"/>
      <c r="AT13" s="101">
        <v>5</v>
      </c>
      <c r="AU13" s="105">
        <v>52</v>
      </c>
      <c r="AV13" s="106"/>
      <c r="AW13" s="107">
        <v>6</v>
      </c>
      <c r="AX13" s="105">
        <v>53</v>
      </c>
      <c r="AY13" s="106"/>
      <c r="AZ13" s="107">
        <v>7</v>
      </c>
      <c r="BA13" s="112">
        <v>54</v>
      </c>
      <c r="BB13" s="113"/>
      <c r="BC13" s="114">
        <v>0</v>
      </c>
    </row>
    <row r="14" spans="1:55" x14ac:dyDescent="0.45">
      <c r="A14" s="400" t="s">
        <v>128</v>
      </c>
      <c r="B14" s="401"/>
      <c r="C14" s="402"/>
      <c r="D14" s="349" t="s">
        <v>130</v>
      </c>
      <c r="E14" s="350"/>
      <c r="F14" s="351"/>
      <c r="G14" s="74"/>
      <c r="H14" s="90"/>
      <c r="I14" s="91" t="s">
        <v>142</v>
      </c>
      <c r="J14" s="92"/>
      <c r="K14" s="96"/>
      <c r="L14" s="97" t="s">
        <v>49</v>
      </c>
      <c r="M14" s="98"/>
      <c r="N14" s="102"/>
      <c r="O14" s="103" t="s">
        <v>12</v>
      </c>
      <c r="P14" s="104"/>
      <c r="Q14" s="108"/>
      <c r="R14" s="109" t="s">
        <v>13</v>
      </c>
      <c r="S14" s="110"/>
      <c r="T14" s="108"/>
      <c r="U14" s="109" t="s">
        <v>14</v>
      </c>
      <c r="V14" s="110"/>
      <c r="W14" s="108"/>
      <c r="X14" s="109" t="s">
        <v>15</v>
      </c>
      <c r="Y14" s="110"/>
      <c r="Z14" s="108"/>
      <c r="AA14" s="109" t="s">
        <v>17</v>
      </c>
      <c r="AB14" s="110"/>
      <c r="AC14" s="96"/>
      <c r="AD14" s="97" t="s">
        <v>16</v>
      </c>
      <c r="AE14" s="98"/>
      <c r="AF14" s="257"/>
      <c r="AG14" s="258" t="s">
        <v>50</v>
      </c>
      <c r="AH14" s="259"/>
      <c r="AI14" s="84"/>
      <c r="AJ14" s="85" t="s">
        <v>163</v>
      </c>
      <c r="AK14" s="86"/>
      <c r="AL14" s="90"/>
      <c r="AM14" s="91" t="s">
        <v>164</v>
      </c>
      <c r="AN14" s="92"/>
      <c r="AO14" s="96"/>
      <c r="AP14" s="97" t="s">
        <v>51</v>
      </c>
      <c r="AQ14" s="98"/>
      <c r="AR14" s="102"/>
      <c r="AS14" s="103" t="s">
        <v>18</v>
      </c>
      <c r="AT14" s="104"/>
      <c r="AU14" s="108"/>
      <c r="AV14" s="109" t="s">
        <v>19</v>
      </c>
      <c r="AW14" s="110"/>
      <c r="AX14" s="108"/>
      <c r="AY14" s="109" t="s">
        <v>20</v>
      </c>
      <c r="AZ14" s="110"/>
      <c r="BA14" s="115"/>
      <c r="BB14" s="116" t="s">
        <v>165</v>
      </c>
      <c r="BC14" s="117"/>
    </row>
    <row r="15" spans="1:55" ht="45" customHeight="1" x14ac:dyDescent="0.45">
      <c r="A15" s="352" t="s">
        <v>286</v>
      </c>
      <c r="B15" s="353"/>
      <c r="C15" s="354"/>
      <c r="D15" s="355" t="s">
        <v>289</v>
      </c>
      <c r="E15" s="356"/>
      <c r="F15" s="357"/>
      <c r="G15" s="74"/>
      <c r="H15" s="346" t="s">
        <v>293</v>
      </c>
      <c r="I15" s="347"/>
      <c r="J15" s="348"/>
      <c r="K15" s="374" t="s">
        <v>299</v>
      </c>
      <c r="L15" s="372"/>
      <c r="M15" s="373"/>
      <c r="N15" s="367" t="s">
        <v>298</v>
      </c>
      <c r="O15" s="368"/>
      <c r="P15" s="369"/>
      <c r="Q15" s="364" t="s">
        <v>305</v>
      </c>
      <c r="R15" s="365"/>
      <c r="S15" s="366"/>
      <c r="T15" s="385" t="s">
        <v>201</v>
      </c>
      <c r="U15" s="365"/>
      <c r="V15" s="366"/>
      <c r="W15" s="364" t="s">
        <v>311</v>
      </c>
      <c r="X15" s="365"/>
      <c r="Y15" s="366"/>
      <c r="Z15" s="364" t="s">
        <v>314</v>
      </c>
      <c r="AA15" s="365"/>
      <c r="AB15" s="366"/>
      <c r="AC15" s="374" t="s">
        <v>319</v>
      </c>
      <c r="AD15" s="372"/>
      <c r="AE15" s="373"/>
      <c r="AF15" s="346" t="s">
        <v>322</v>
      </c>
      <c r="AG15" s="347"/>
      <c r="AH15" s="348"/>
      <c r="AI15" s="355" t="s">
        <v>327</v>
      </c>
      <c r="AJ15" s="356"/>
      <c r="AK15" s="357"/>
      <c r="AL15" s="346" t="s">
        <v>332</v>
      </c>
      <c r="AM15" s="347"/>
      <c r="AN15" s="348"/>
      <c r="AO15" s="374" t="s">
        <v>337</v>
      </c>
      <c r="AP15" s="372"/>
      <c r="AQ15" s="373"/>
      <c r="AR15" s="367" t="s">
        <v>340</v>
      </c>
      <c r="AS15" s="368"/>
      <c r="AT15" s="369"/>
      <c r="AU15" s="379" t="s">
        <v>347</v>
      </c>
      <c r="AV15" s="365"/>
      <c r="AW15" s="366"/>
      <c r="AX15" s="379" t="s">
        <v>350</v>
      </c>
      <c r="AY15" s="365"/>
      <c r="AZ15" s="366"/>
      <c r="BA15" s="382" t="s">
        <v>358</v>
      </c>
      <c r="BB15" s="362"/>
      <c r="BC15" s="363"/>
    </row>
    <row r="16" spans="1:55" x14ac:dyDescent="0.45">
      <c r="A16" s="75">
        <v>55</v>
      </c>
      <c r="B16" s="76"/>
      <c r="C16" s="77">
        <v>1</v>
      </c>
      <c r="D16" s="81">
        <v>56</v>
      </c>
      <c r="E16" s="82"/>
      <c r="F16" s="83">
        <v>2</v>
      </c>
      <c r="G16" s="358" t="s">
        <v>152</v>
      </c>
      <c r="H16" s="87">
        <v>71</v>
      </c>
      <c r="I16" s="88"/>
      <c r="J16" s="89">
        <v>3</v>
      </c>
      <c r="K16" s="93">
        <v>72</v>
      </c>
      <c r="L16" s="94"/>
      <c r="M16" s="95">
        <v>4</v>
      </c>
      <c r="N16" s="99">
        <v>73</v>
      </c>
      <c r="O16" s="100"/>
      <c r="P16" s="101">
        <v>5</v>
      </c>
      <c r="Q16" s="105">
        <v>74</v>
      </c>
      <c r="R16" s="106"/>
      <c r="S16" s="107">
        <v>6</v>
      </c>
      <c r="T16" s="105">
        <v>75</v>
      </c>
      <c r="U16" s="106"/>
      <c r="V16" s="107">
        <v>7</v>
      </c>
      <c r="W16" s="105">
        <v>76</v>
      </c>
      <c r="X16" s="106"/>
      <c r="Y16" s="107">
        <v>8</v>
      </c>
      <c r="Z16" s="105">
        <v>77</v>
      </c>
      <c r="AA16" s="106"/>
      <c r="AB16" s="107">
        <v>6</v>
      </c>
      <c r="AC16" s="105">
        <v>78</v>
      </c>
      <c r="AD16" s="106"/>
      <c r="AE16" s="107">
        <v>6</v>
      </c>
      <c r="AF16" s="99">
        <v>79</v>
      </c>
      <c r="AG16" s="100"/>
      <c r="AH16" s="101">
        <v>5</v>
      </c>
      <c r="AI16" s="93">
        <v>80</v>
      </c>
      <c r="AJ16" s="94"/>
      <c r="AK16" s="95">
        <v>4</v>
      </c>
      <c r="AL16" s="87">
        <v>81</v>
      </c>
      <c r="AM16" s="88"/>
      <c r="AN16" s="89">
        <v>3</v>
      </c>
      <c r="AO16" s="93">
        <v>82</v>
      </c>
      <c r="AP16" s="94"/>
      <c r="AQ16" s="95">
        <v>4</v>
      </c>
      <c r="AR16" s="99">
        <v>83</v>
      </c>
      <c r="AS16" s="100"/>
      <c r="AT16" s="101">
        <v>5</v>
      </c>
      <c r="AU16" s="105">
        <v>84</v>
      </c>
      <c r="AV16" s="106"/>
      <c r="AW16" s="107">
        <v>6</v>
      </c>
      <c r="AX16" s="105">
        <v>85</v>
      </c>
      <c r="AY16" s="106"/>
      <c r="AZ16" s="107">
        <v>7</v>
      </c>
      <c r="BA16" s="112">
        <v>86</v>
      </c>
      <c r="BB16" s="113"/>
      <c r="BC16" s="114">
        <v>0</v>
      </c>
    </row>
    <row r="17" spans="1:55" x14ac:dyDescent="0.45">
      <c r="A17" s="254"/>
      <c r="B17" s="255" t="s">
        <v>133</v>
      </c>
      <c r="C17" s="256"/>
      <c r="D17" s="84"/>
      <c r="E17" s="85" t="s">
        <v>132</v>
      </c>
      <c r="F17" s="86"/>
      <c r="G17" s="359"/>
      <c r="H17" s="90"/>
      <c r="I17" s="91" t="s">
        <v>144</v>
      </c>
      <c r="J17" s="92"/>
      <c r="K17" s="96"/>
      <c r="L17" s="97" t="s">
        <v>52</v>
      </c>
      <c r="M17" s="98"/>
      <c r="N17" s="102"/>
      <c r="O17" s="103" t="s">
        <v>21</v>
      </c>
      <c r="P17" s="104"/>
      <c r="Q17" s="108"/>
      <c r="R17" s="109" t="s">
        <v>22</v>
      </c>
      <c r="S17" s="110"/>
      <c r="T17" s="108"/>
      <c r="U17" s="109" t="s">
        <v>23</v>
      </c>
      <c r="V17" s="110"/>
      <c r="W17" s="108"/>
      <c r="X17" s="109" t="s">
        <v>24</v>
      </c>
      <c r="Y17" s="110"/>
      <c r="Z17" s="108"/>
      <c r="AA17" s="109" t="s">
        <v>25</v>
      </c>
      <c r="AB17" s="110"/>
      <c r="AC17" s="108"/>
      <c r="AD17" s="109" t="s">
        <v>53</v>
      </c>
      <c r="AE17" s="110"/>
      <c r="AF17" s="102"/>
      <c r="AG17" s="103" t="s">
        <v>54</v>
      </c>
      <c r="AH17" s="104"/>
      <c r="AI17" s="96"/>
      <c r="AJ17" s="97" t="s">
        <v>166</v>
      </c>
      <c r="AK17" s="98"/>
      <c r="AL17" s="90"/>
      <c r="AM17" s="91" t="s">
        <v>167</v>
      </c>
      <c r="AN17" s="92"/>
      <c r="AO17" s="96"/>
      <c r="AP17" s="97" t="s">
        <v>55</v>
      </c>
      <c r="AQ17" s="98"/>
      <c r="AR17" s="102"/>
      <c r="AS17" s="103" t="s">
        <v>26</v>
      </c>
      <c r="AT17" s="104"/>
      <c r="AU17" s="108"/>
      <c r="AV17" s="109" t="s">
        <v>27</v>
      </c>
      <c r="AW17" s="110"/>
      <c r="AX17" s="108"/>
      <c r="AY17" s="109" t="s">
        <v>28</v>
      </c>
      <c r="AZ17" s="110"/>
      <c r="BA17" s="115"/>
      <c r="BB17" s="116" t="s">
        <v>168</v>
      </c>
      <c r="BC17" s="117"/>
    </row>
    <row r="18" spans="1:55" ht="45" customHeight="1" x14ac:dyDescent="0.45">
      <c r="A18" s="352" t="s">
        <v>287</v>
      </c>
      <c r="B18" s="353"/>
      <c r="C18" s="354"/>
      <c r="D18" s="355" t="s">
        <v>290</v>
      </c>
      <c r="E18" s="356"/>
      <c r="F18" s="357"/>
      <c r="G18" s="360"/>
      <c r="H18" s="346" t="s">
        <v>294</v>
      </c>
      <c r="I18" s="347"/>
      <c r="J18" s="348"/>
      <c r="K18" s="374" t="s">
        <v>300</v>
      </c>
      <c r="L18" s="372"/>
      <c r="M18" s="373"/>
      <c r="N18" s="367" t="s">
        <v>303</v>
      </c>
      <c r="O18" s="368"/>
      <c r="P18" s="369"/>
      <c r="Q18" s="364" t="s">
        <v>306</v>
      </c>
      <c r="R18" s="365"/>
      <c r="S18" s="366"/>
      <c r="T18" s="385" t="s">
        <v>202</v>
      </c>
      <c r="U18" s="365"/>
      <c r="V18" s="366"/>
      <c r="W18" s="364" t="s">
        <v>310</v>
      </c>
      <c r="X18" s="365"/>
      <c r="Y18" s="366"/>
      <c r="Z18" s="364" t="s">
        <v>315</v>
      </c>
      <c r="AA18" s="365"/>
      <c r="AB18" s="366"/>
      <c r="AC18" s="364" t="s">
        <v>318</v>
      </c>
      <c r="AD18" s="365"/>
      <c r="AE18" s="366"/>
      <c r="AF18" s="380" t="s">
        <v>323</v>
      </c>
      <c r="AG18" s="368"/>
      <c r="AH18" s="369"/>
      <c r="AI18" s="374" t="s">
        <v>326</v>
      </c>
      <c r="AJ18" s="372"/>
      <c r="AK18" s="373"/>
      <c r="AL18" s="346" t="s">
        <v>333</v>
      </c>
      <c r="AM18" s="347"/>
      <c r="AN18" s="348"/>
      <c r="AO18" s="374" t="s">
        <v>338</v>
      </c>
      <c r="AP18" s="372"/>
      <c r="AQ18" s="373"/>
      <c r="AR18" s="367" t="s">
        <v>339</v>
      </c>
      <c r="AS18" s="368"/>
      <c r="AT18" s="369"/>
      <c r="AU18" s="364" t="s">
        <v>348</v>
      </c>
      <c r="AV18" s="365"/>
      <c r="AW18" s="366"/>
      <c r="AX18" s="364" t="s">
        <v>349</v>
      </c>
      <c r="AY18" s="365"/>
      <c r="AZ18" s="366"/>
      <c r="BA18" s="381" t="s">
        <v>357</v>
      </c>
      <c r="BB18" s="362"/>
      <c r="BC18" s="363"/>
    </row>
    <row r="19" spans="1:55" x14ac:dyDescent="0.45">
      <c r="A19" s="75">
        <v>87</v>
      </c>
      <c r="B19" s="76"/>
      <c r="C19" s="77">
        <v>1</v>
      </c>
      <c r="D19" s="81">
        <v>88</v>
      </c>
      <c r="E19" s="82"/>
      <c r="F19" s="83">
        <v>2</v>
      </c>
      <c r="G19" s="358" t="s">
        <v>153</v>
      </c>
      <c r="H19" s="87">
        <v>103</v>
      </c>
      <c r="I19" s="88"/>
      <c r="J19" s="89">
        <v>3</v>
      </c>
      <c r="K19" s="93">
        <v>104</v>
      </c>
      <c r="L19" s="94"/>
      <c r="M19" s="95">
        <v>4</v>
      </c>
      <c r="N19" s="99">
        <v>105</v>
      </c>
      <c r="O19" s="100"/>
      <c r="P19" s="101">
        <v>5</v>
      </c>
      <c r="Q19" s="105">
        <v>106</v>
      </c>
      <c r="R19" s="106"/>
      <c r="S19" s="107">
        <v>6</v>
      </c>
      <c r="T19" s="105">
        <v>107</v>
      </c>
      <c r="U19" s="106"/>
      <c r="V19" s="107">
        <v>7</v>
      </c>
      <c r="W19" s="105">
        <v>108</v>
      </c>
      <c r="X19" s="106"/>
      <c r="Y19" s="107">
        <v>8</v>
      </c>
      <c r="Z19" s="105">
        <v>109</v>
      </c>
      <c r="AA19" s="106"/>
      <c r="AB19" s="107">
        <v>6</v>
      </c>
      <c r="AC19" s="112">
        <v>110</v>
      </c>
      <c r="AD19" s="113"/>
      <c r="AE19" s="114"/>
      <c r="AF19" s="112">
        <v>111</v>
      </c>
      <c r="AG19" s="113"/>
      <c r="AH19" s="114"/>
      <c r="AI19" s="112">
        <v>112</v>
      </c>
      <c r="AJ19" s="113"/>
      <c r="AK19" s="114"/>
      <c r="AL19" s="112">
        <v>113</v>
      </c>
      <c r="AM19" s="113"/>
      <c r="AN19" s="114"/>
      <c r="AO19" s="112">
        <v>114</v>
      </c>
      <c r="AP19" s="113"/>
      <c r="AQ19" s="114"/>
      <c r="AR19" s="112">
        <v>115</v>
      </c>
      <c r="AS19" s="113"/>
      <c r="AT19" s="114"/>
      <c r="AU19" s="112">
        <v>116</v>
      </c>
      <c r="AV19" s="113"/>
      <c r="AW19" s="114"/>
      <c r="AX19" s="112">
        <v>117</v>
      </c>
      <c r="AY19" s="113"/>
      <c r="AZ19" s="114"/>
      <c r="BA19" s="112">
        <v>118</v>
      </c>
      <c r="BB19" s="113"/>
      <c r="BC19" s="114"/>
    </row>
    <row r="20" spans="1:55" x14ac:dyDescent="0.45">
      <c r="A20" s="254"/>
      <c r="B20" s="255" t="s">
        <v>137</v>
      </c>
      <c r="C20" s="256"/>
      <c r="D20" s="84"/>
      <c r="E20" s="85" t="s">
        <v>136</v>
      </c>
      <c r="F20" s="86"/>
      <c r="G20" s="359"/>
      <c r="H20" s="90"/>
      <c r="I20" s="91" t="s">
        <v>146</v>
      </c>
      <c r="J20" s="92"/>
      <c r="K20" s="96"/>
      <c r="L20" s="97" t="s">
        <v>63</v>
      </c>
      <c r="M20" s="98"/>
      <c r="N20" s="102"/>
      <c r="O20" s="103" t="s">
        <v>34</v>
      </c>
      <c r="P20" s="104"/>
      <c r="Q20" s="108"/>
      <c r="R20" s="109" t="s">
        <v>35</v>
      </c>
      <c r="S20" s="110"/>
      <c r="T20" s="108"/>
      <c r="U20" s="109" t="s">
        <v>36</v>
      </c>
      <c r="V20" s="110"/>
      <c r="W20" s="108"/>
      <c r="X20" s="109" t="s">
        <v>37</v>
      </c>
      <c r="Y20" s="110"/>
      <c r="Z20" s="108"/>
      <c r="AA20" s="109" t="s">
        <v>38</v>
      </c>
      <c r="AB20" s="110"/>
      <c r="AC20" s="115"/>
      <c r="AD20" s="116" t="s">
        <v>169</v>
      </c>
      <c r="AE20" s="117"/>
      <c r="AF20" s="115"/>
      <c r="AG20" s="116" t="s">
        <v>170</v>
      </c>
      <c r="AH20" s="117"/>
      <c r="AI20" s="115"/>
      <c r="AJ20" s="116" t="s">
        <v>171</v>
      </c>
      <c r="AK20" s="117"/>
      <c r="AL20" s="115"/>
      <c r="AM20" s="116" t="s">
        <v>172</v>
      </c>
      <c r="AN20" s="117"/>
      <c r="AO20" s="115"/>
      <c r="AP20" s="116" t="s">
        <v>173</v>
      </c>
      <c r="AQ20" s="117"/>
      <c r="AR20" s="115"/>
      <c r="AS20" s="116" t="s">
        <v>174</v>
      </c>
      <c r="AT20" s="117"/>
      <c r="AU20" s="115"/>
      <c r="AV20" s="116" t="s">
        <v>175</v>
      </c>
      <c r="AW20" s="117"/>
      <c r="AX20" s="115"/>
      <c r="AY20" s="116" t="s">
        <v>176</v>
      </c>
      <c r="AZ20" s="117"/>
      <c r="BA20" s="115"/>
      <c r="BB20" s="116" t="s">
        <v>177</v>
      </c>
      <c r="BC20" s="117"/>
    </row>
    <row r="21" spans="1:55" ht="45" customHeight="1" x14ac:dyDescent="0.45">
      <c r="A21" s="352" t="s">
        <v>288</v>
      </c>
      <c r="B21" s="353"/>
      <c r="C21" s="354"/>
      <c r="D21" s="355" t="s">
        <v>291</v>
      </c>
      <c r="E21" s="356"/>
      <c r="F21" s="357"/>
      <c r="G21" s="360"/>
      <c r="H21" s="346" t="s">
        <v>295</v>
      </c>
      <c r="I21" s="347"/>
      <c r="J21" s="348"/>
      <c r="K21" s="374" t="s">
        <v>301</v>
      </c>
      <c r="L21" s="372"/>
      <c r="M21" s="373"/>
      <c r="N21" s="367" t="s">
        <v>302</v>
      </c>
      <c r="O21" s="368"/>
      <c r="P21" s="369"/>
      <c r="Q21" s="364" t="s">
        <v>307</v>
      </c>
      <c r="R21" s="365"/>
      <c r="S21" s="366"/>
      <c r="T21" s="364" t="s">
        <v>308</v>
      </c>
      <c r="U21" s="365"/>
      <c r="V21" s="366"/>
      <c r="W21" s="364" t="s">
        <v>309</v>
      </c>
      <c r="X21" s="365"/>
      <c r="Y21" s="366"/>
      <c r="Z21" s="370" t="s">
        <v>316</v>
      </c>
      <c r="AA21" s="365"/>
      <c r="AB21" s="366"/>
      <c r="AC21" s="361" t="s">
        <v>317</v>
      </c>
      <c r="AD21" s="362"/>
      <c r="AE21" s="363"/>
      <c r="AF21" s="361" t="s">
        <v>324</v>
      </c>
      <c r="AG21" s="362"/>
      <c r="AH21" s="363"/>
      <c r="AI21" s="376" t="s">
        <v>325</v>
      </c>
      <c r="AJ21" s="362"/>
      <c r="AK21" s="363"/>
      <c r="AL21" s="375" t="s">
        <v>194</v>
      </c>
      <c r="AM21" s="362"/>
      <c r="AN21" s="363"/>
      <c r="AO21" s="375" t="s">
        <v>195</v>
      </c>
      <c r="AP21" s="362"/>
      <c r="AQ21" s="363"/>
      <c r="AR21" s="375" t="s">
        <v>196</v>
      </c>
      <c r="AS21" s="362"/>
      <c r="AT21" s="363"/>
      <c r="AU21" s="375" t="s">
        <v>197</v>
      </c>
      <c r="AV21" s="362"/>
      <c r="AW21" s="363"/>
      <c r="AX21" s="375" t="s">
        <v>198</v>
      </c>
      <c r="AY21" s="362"/>
      <c r="AZ21" s="363"/>
      <c r="BA21" s="375" t="s">
        <v>199</v>
      </c>
      <c r="BB21" s="362"/>
      <c r="BC21" s="363"/>
    </row>
    <row r="22" spans="1:55" x14ac:dyDescent="0.45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</row>
    <row r="23" spans="1:55" x14ac:dyDescent="0.45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358" t="s">
        <v>152</v>
      </c>
      <c r="N23" s="87">
        <v>57</v>
      </c>
      <c r="O23" s="88"/>
      <c r="P23" s="89">
        <v>3</v>
      </c>
      <c r="Q23" s="93">
        <v>58</v>
      </c>
      <c r="R23" s="94"/>
      <c r="S23" s="95">
        <v>4</v>
      </c>
      <c r="T23" s="93">
        <v>59</v>
      </c>
      <c r="U23" s="94"/>
      <c r="V23" s="95">
        <v>4</v>
      </c>
      <c r="W23" s="87">
        <v>60</v>
      </c>
      <c r="X23" s="88"/>
      <c r="Y23" s="89">
        <v>3</v>
      </c>
      <c r="Z23" s="87">
        <v>61</v>
      </c>
      <c r="AA23" s="88"/>
      <c r="AB23" s="89">
        <v>3</v>
      </c>
      <c r="AC23" s="87">
        <v>62</v>
      </c>
      <c r="AD23" s="88"/>
      <c r="AE23" s="89">
        <v>3</v>
      </c>
      <c r="AF23" s="87">
        <v>63</v>
      </c>
      <c r="AG23" s="88"/>
      <c r="AH23" s="89">
        <v>3</v>
      </c>
      <c r="AI23" s="87">
        <v>64</v>
      </c>
      <c r="AJ23" s="88"/>
      <c r="AK23" s="89">
        <v>3</v>
      </c>
      <c r="AL23" s="87">
        <v>65</v>
      </c>
      <c r="AM23" s="88"/>
      <c r="AN23" s="89">
        <v>3</v>
      </c>
      <c r="AO23" s="87">
        <v>66</v>
      </c>
      <c r="AP23" s="88"/>
      <c r="AQ23" s="89">
        <v>3</v>
      </c>
      <c r="AR23" s="87">
        <v>67</v>
      </c>
      <c r="AS23" s="88"/>
      <c r="AT23" s="89">
        <v>3</v>
      </c>
      <c r="AU23" s="87">
        <v>68</v>
      </c>
      <c r="AV23" s="88"/>
      <c r="AW23" s="89">
        <v>3</v>
      </c>
      <c r="AX23" s="87">
        <v>69</v>
      </c>
      <c r="AY23" s="88"/>
      <c r="AZ23" s="89">
        <v>3</v>
      </c>
      <c r="BA23" s="87">
        <v>70</v>
      </c>
      <c r="BB23" s="88"/>
      <c r="BC23" s="89">
        <v>3</v>
      </c>
    </row>
    <row r="24" spans="1:55" x14ac:dyDescent="0.45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359"/>
      <c r="N24" s="90"/>
      <c r="O24" s="91" t="s">
        <v>178</v>
      </c>
      <c r="P24" s="92"/>
      <c r="Q24" s="96"/>
      <c r="R24" s="97" t="s">
        <v>56</v>
      </c>
      <c r="S24" s="98"/>
      <c r="T24" s="96"/>
      <c r="U24" s="97" t="s">
        <v>57</v>
      </c>
      <c r="V24" s="98"/>
      <c r="W24" s="90"/>
      <c r="X24" s="91" t="s">
        <v>179</v>
      </c>
      <c r="Y24" s="92"/>
      <c r="Z24" s="90"/>
      <c r="AA24" s="91" t="s">
        <v>180</v>
      </c>
      <c r="AB24" s="92"/>
      <c r="AC24" s="90"/>
      <c r="AD24" s="91" t="s">
        <v>181</v>
      </c>
      <c r="AE24" s="92"/>
      <c r="AF24" s="90"/>
      <c r="AG24" s="91" t="s">
        <v>182</v>
      </c>
      <c r="AH24" s="92"/>
      <c r="AI24" s="90"/>
      <c r="AJ24" s="91" t="s">
        <v>183</v>
      </c>
      <c r="AK24" s="92"/>
      <c r="AL24" s="90"/>
      <c r="AM24" s="91" t="s">
        <v>58</v>
      </c>
      <c r="AN24" s="92"/>
      <c r="AO24" s="90"/>
      <c r="AP24" s="91" t="s">
        <v>184</v>
      </c>
      <c r="AQ24" s="92"/>
      <c r="AR24" s="90"/>
      <c r="AS24" s="91" t="s">
        <v>185</v>
      </c>
      <c r="AT24" s="92"/>
      <c r="AU24" s="90"/>
      <c r="AV24" s="91" t="s">
        <v>186</v>
      </c>
      <c r="AW24" s="92"/>
      <c r="AX24" s="90"/>
      <c r="AY24" s="91" t="s">
        <v>187</v>
      </c>
      <c r="AZ24" s="92"/>
      <c r="BA24" s="90"/>
      <c r="BB24" s="91" t="s">
        <v>188</v>
      </c>
      <c r="BC24" s="92"/>
    </row>
    <row r="25" spans="1:55" ht="45" customHeight="1" x14ac:dyDescent="0.45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360"/>
      <c r="N25" s="346" t="s">
        <v>385</v>
      </c>
      <c r="O25" s="347"/>
      <c r="P25" s="348"/>
      <c r="Q25" s="374" t="s">
        <v>383</v>
      </c>
      <c r="R25" s="372"/>
      <c r="S25" s="373"/>
      <c r="T25" s="374" t="s">
        <v>381</v>
      </c>
      <c r="U25" s="372"/>
      <c r="V25" s="373"/>
      <c r="W25" s="346" t="s">
        <v>379</v>
      </c>
      <c r="X25" s="347"/>
      <c r="Y25" s="348"/>
      <c r="Z25" s="346" t="s">
        <v>377</v>
      </c>
      <c r="AA25" s="347"/>
      <c r="AB25" s="348"/>
      <c r="AC25" s="346" t="s">
        <v>375</v>
      </c>
      <c r="AD25" s="347"/>
      <c r="AE25" s="348"/>
      <c r="AF25" s="346" t="s">
        <v>373</v>
      </c>
      <c r="AG25" s="347"/>
      <c r="AH25" s="348"/>
      <c r="AI25" s="346" t="s">
        <v>371</v>
      </c>
      <c r="AJ25" s="347"/>
      <c r="AK25" s="348"/>
      <c r="AL25" s="346" t="s">
        <v>369</v>
      </c>
      <c r="AM25" s="347"/>
      <c r="AN25" s="348"/>
      <c r="AO25" s="346" t="s">
        <v>367</v>
      </c>
      <c r="AP25" s="347"/>
      <c r="AQ25" s="348"/>
      <c r="AR25" s="346" t="s">
        <v>365</v>
      </c>
      <c r="AS25" s="347"/>
      <c r="AT25" s="348"/>
      <c r="AU25" s="346" t="s">
        <v>364</v>
      </c>
      <c r="AV25" s="347"/>
      <c r="AW25" s="348"/>
      <c r="AX25" s="346" t="s">
        <v>361</v>
      </c>
      <c r="AY25" s="347"/>
      <c r="AZ25" s="348"/>
      <c r="BA25" s="346" t="s">
        <v>359</v>
      </c>
      <c r="BB25" s="347"/>
      <c r="BC25" s="348"/>
    </row>
    <row r="26" spans="1:55" x14ac:dyDescent="0.45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358" t="s">
        <v>153</v>
      </c>
      <c r="N26" s="87">
        <v>89</v>
      </c>
      <c r="O26" s="88"/>
      <c r="P26" s="89">
        <v>3</v>
      </c>
      <c r="Q26" s="93">
        <v>90</v>
      </c>
      <c r="R26" s="94"/>
      <c r="S26" s="95">
        <v>4</v>
      </c>
      <c r="T26" s="99">
        <v>91</v>
      </c>
      <c r="U26" s="100"/>
      <c r="V26" s="101">
        <v>5</v>
      </c>
      <c r="W26" s="105">
        <v>92</v>
      </c>
      <c r="X26" s="106"/>
      <c r="Y26" s="107">
        <v>6</v>
      </c>
      <c r="Z26" s="105">
        <v>93</v>
      </c>
      <c r="AA26" s="106"/>
      <c r="AB26" s="107">
        <v>7</v>
      </c>
      <c r="AC26" s="105">
        <v>94</v>
      </c>
      <c r="AD26" s="106"/>
      <c r="AE26" s="107">
        <v>7</v>
      </c>
      <c r="AF26" s="105">
        <v>95</v>
      </c>
      <c r="AG26" s="106"/>
      <c r="AH26" s="107">
        <v>6</v>
      </c>
      <c r="AI26" s="93">
        <v>96</v>
      </c>
      <c r="AJ26" s="94"/>
      <c r="AK26" s="95">
        <v>4</v>
      </c>
      <c r="AL26" s="93">
        <v>97</v>
      </c>
      <c r="AM26" s="94"/>
      <c r="AN26" s="95">
        <v>4</v>
      </c>
      <c r="AO26" s="93">
        <v>98</v>
      </c>
      <c r="AP26" s="94"/>
      <c r="AQ26" s="95">
        <v>4</v>
      </c>
      <c r="AR26" s="87">
        <v>99</v>
      </c>
      <c r="AS26" s="88"/>
      <c r="AT26" s="89">
        <v>3</v>
      </c>
      <c r="AU26" s="87">
        <v>100</v>
      </c>
      <c r="AV26" s="88"/>
      <c r="AW26" s="89">
        <v>3</v>
      </c>
      <c r="AX26" s="87">
        <v>101</v>
      </c>
      <c r="AY26" s="88"/>
      <c r="AZ26" s="89">
        <v>3</v>
      </c>
      <c r="BA26" s="87">
        <v>102</v>
      </c>
      <c r="BB26" s="88"/>
      <c r="BC26" s="89">
        <v>3</v>
      </c>
    </row>
    <row r="27" spans="1:55" x14ac:dyDescent="0.45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359"/>
      <c r="N27" s="90"/>
      <c r="O27" s="91" t="s">
        <v>189</v>
      </c>
      <c r="P27" s="92"/>
      <c r="Q27" s="96"/>
      <c r="R27" s="97" t="s">
        <v>59</v>
      </c>
      <c r="S27" s="98"/>
      <c r="T27" s="102"/>
      <c r="U27" s="103" t="s">
        <v>30</v>
      </c>
      <c r="V27" s="104"/>
      <c r="W27" s="108"/>
      <c r="X27" s="109" t="s">
        <v>29</v>
      </c>
      <c r="Y27" s="110"/>
      <c r="Z27" s="108"/>
      <c r="AA27" s="109" t="s">
        <v>31</v>
      </c>
      <c r="AB27" s="110"/>
      <c r="AC27" s="108"/>
      <c r="AD27" s="109" t="s">
        <v>32</v>
      </c>
      <c r="AE27" s="110"/>
      <c r="AF27" s="108"/>
      <c r="AG27" s="109" t="s">
        <v>33</v>
      </c>
      <c r="AH27" s="110"/>
      <c r="AI27" s="96"/>
      <c r="AJ27" s="97" t="s">
        <v>60</v>
      </c>
      <c r="AK27" s="98"/>
      <c r="AL27" s="96"/>
      <c r="AM27" s="97" t="s">
        <v>61</v>
      </c>
      <c r="AN27" s="98"/>
      <c r="AO27" s="96"/>
      <c r="AP27" s="97" t="s">
        <v>62</v>
      </c>
      <c r="AQ27" s="98"/>
      <c r="AR27" s="90"/>
      <c r="AS27" s="91" t="s">
        <v>190</v>
      </c>
      <c r="AT27" s="92"/>
      <c r="AU27" s="90"/>
      <c r="AV27" s="91" t="s">
        <v>191</v>
      </c>
      <c r="AW27" s="92"/>
      <c r="AX27" s="90"/>
      <c r="AY27" s="91" t="s">
        <v>192</v>
      </c>
      <c r="AZ27" s="92"/>
      <c r="BA27" s="90"/>
      <c r="BB27" s="91" t="s">
        <v>109</v>
      </c>
      <c r="BC27" s="92"/>
    </row>
    <row r="28" spans="1:55" ht="45" customHeight="1" x14ac:dyDescent="0.45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360"/>
      <c r="N28" s="346" t="s">
        <v>386</v>
      </c>
      <c r="O28" s="347"/>
      <c r="P28" s="348"/>
      <c r="Q28" s="374" t="s">
        <v>384</v>
      </c>
      <c r="R28" s="372"/>
      <c r="S28" s="373"/>
      <c r="T28" s="367" t="s">
        <v>382</v>
      </c>
      <c r="U28" s="368"/>
      <c r="V28" s="369"/>
      <c r="W28" s="364" t="s">
        <v>380</v>
      </c>
      <c r="X28" s="365"/>
      <c r="Y28" s="366"/>
      <c r="Z28" s="364" t="s">
        <v>378</v>
      </c>
      <c r="AA28" s="365"/>
      <c r="AB28" s="366"/>
      <c r="AC28" s="364" t="s">
        <v>376</v>
      </c>
      <c r="AD28" s="365"/>
      <c r="AE28" s="366"/>
      <c r="AF28" s="364" t="s">
        <v>374</v>
      </c>
      <c r="AG28" s="365"/>
      <c r="AH28" s="366"/>
      <c r="AI28" s="374" t="s">
        <v>372</v>
      </c>
      <c r="AJ28" s="372"/>
      <c r="AK28" s="373"/>
      <c r="AL28" s="374" t="s">
        <v>370</v>
      </c>
      <c r="AM28" s="372"/>
      <c r="AN28" s="373"/>
      <c r="AO28" s="374" t="s">
        <v>368</v>
      </c>
      <c r="AP28" s="372"/>
      <c r="AQ28" s="373"/>
      <c r="AR28" s="346" t="s">
        <v>366</v>
      </c>
      <c r="AS28" s="347"/>
      <c r="AT28" s="348"/>
      <c r="AU28" s="346" t="s">
        <v>363</v>
      </c>
      <c r="AV28" s="347"/>
      <c r="AW28" s="348"/>
      <c r="AX28" s="346" t="s">
        <v>362</v>
      </c>
      <c r="AY28" s="347"/>
      <c r="AZ28" s="348"/>
      <c r="BA28" s="346" t="s">
        <v>360</v>
      </c>
      <c r="BB28" s="347"/>
      <c r="BC28" s="348"/>
    </row>
    <row r="30" spans="1:55" x14ac:dyDescent="0.45">
      <c r="A30" s="75">
        <v>1</v>
      </c>
      <c r="B30" s="76"/>
      <c r="C30" s="77">
        <v>1</v>
      </c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112">
        <v>2</v>
      </c>
      <c r="BB30" s="113"/>
      <c r="BC30" s="114">
        <v>0</v>
      </c>
    </row>
    <row r="31" spans="1:55" x14ac:dyDescent="0.45">
      <c r="A31" s="400"/>
      <c r="B31" s="401" t="s">
        <v>115</v>
      </c>
      <c r="C31" s="402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115"/>
      <c r="BB31" s="116" t="s">
        <v>158</v>
      </c>
      <c r="BC31" s="117"/>
    </row>
    <row r="32" spans="1:55" ht="24" customHeight="1" x14ac:dyDescent="0.45">
      <c r="A32" s="352" t="s">
        <v>116</v>
      </c>
      <c r="B32" s="353"/>
      <c r="C32" s="35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375"/>
      <c r="BB32" s="362"/>
      <c r="BC32" s="363"/>
    </row>
    <row r="33" spans="1:55" x14ac:dyDescent="0.45">
      <c r="A33" s="75">
        <v>3</v>
      </c>
      <c r="B33" s="76"/>
      <c r="C33" s="77">
        <v>14</v>
      </c>
      <c r="D33" s="81">
        <v>4</v>
      </c>
      <c r="E33" s="82"/>
      <c r="F33" s="83">
        <v>2</v>
      </c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87">
        <v>5</v>
      </c>
      <c r="AM33" s="88"/>
      <c r="AN33" s="89">
        <v>3</v>
      </c>
      <c r="AO33" s="93">
        <v>6</v>
      </c>
      <c r="AP33" s="94"/>
      <c r="AQ33" s="95">
        <v>4</v>
      </c>
      <c r="AR33" s="99">
        <v>7</v>
      </c>
      <c r="AS33" s="100"/>
      <c r="AT33" s="101">
        <v>5</v>
      </c>
      <c r="AU33" s="81">
        <v>8</v>
      </c>
      <c r="AV33" s="82"/>
      <c r="AW33" s="83">
        <v>2</v>
      </c>
      <c r="AX33" s="75">
        <v>9</v>
      </c>
      <c r="AY33" s="76"/>
      <c r="AZ33" s="77">
        <v>1</v>
      </c>
      <c r="BA33" s="112">
        <v>10</v>
      </c>
      <c r="BB33" s="113"/>
      <c r="BC33" s="114">
        <v>0</v>
      </c>
    </row>
    <row r="34" spans="1:55" x14ac:dyDescent="0.45">
      <c r="A34" s="400"/>
      <c r="B34" s="406" t="s">
        <v>92</v>
      </c>
      <c r="C34" s="407"/>
      <c r="D34" s="349"/>
      <c r="E34" s="350" t="s">
        <v>118</v>
      </c>
      <c r="F34" s="351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90"/>
      <c r="AM34" s="91" t="s">
        <v>36</v>
      </c>
      <c r="AN34" s="92"/>
      <c r="AO34" s="96"/>
      <c r="AP34" s="97" t="s">
        <v>43</v>
      </c>
      <c r="AQ34" s="98"/>
      <c r="AR34" s="102" t="s">
        <v>154</v>
      </c>
      <c r="AS34" s="103" t="s">
        <v>0</v>
      </c>
      <c r="AT34" s="104"/>
      <c r="AU34" s="84"/>
      <c r="AV34" s="85" t="s">
        <v>155</v>
      </c>
      <c r="AW34" s="86"/>
      <c r="AX34" s="78"/>
      <c r="AY34" s="79" t="s">
        <v>156</v>
      </c>
      <c r="AZ34" s="80"/>
      <c r="BA34" s="115"/>
      <c r="BB34" s="116" t="s">
        <v>157</v>
      </c>
      <c r="BC34" s="117"/>
    </row>
    <row r="35" spans="1:55" x14ac:dyDescent="0.45">
      <c r="A35" s="393" t="s">
        <v>117</v>
      </c>
      <c r="B35" s="353"/>
      <c r="C35" s="354"/>
      <c r="D35" s="387" t="s">
        <v>119</v>
      </c>
      <c r="E35" s="356"/>
      <c r="F35" s="357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394"/>
      <c r="AM35" s="347"/>
      <c r="AN35" s="348"/>
      <c r="AO35" s="395"/>
      <c r="AP35" s="372"/>
      <c r="AQ35" s="373"/>
      <c r="AR35" s="396"/>
      <c r="AS35" s="368"/>
      <c r="AT35" s="369"/>
      <c r="AU35" s="397"/>
      <c r="AV35" s="356"/>
      <c r="AW35" s="357"/>
      <c r="AX35" s="398"/>
      <c r="AY35" s="353"/>
      <c r="AZ35" s="354"/>
      <c r="BA35" s="386"/>
      <c r="BB35" s="362"/>
      <c r="BC35" s="363"/>
    </row>
    <row r="36" spans="1:55" x14ac:dyDescent="0.45">
      <c r="A36" s="75">
        <v>11</v>
      </c>
      <c r="B36" s="76"/>
      <c r="C36" s="77">
        <v>1</v>
      </c>
      <c r="D36" s="81">
        <v>12</v>
      </c>
      <c r="E36" s="82"/>
      <c r="F36" s="83">
        <v>2</v>
      </c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87">
        <v>13</v>
      </c>
      <c r="AM36" s="88"/>
      <c r="AN36" s="89">
        <v>3</v>
      </c>
      <c r="AO36" s="93">
        <v>14</v>
      </c>
      <c r="AP36" s="94"/>
      <c r="AQ36" s="95">
        <v>4</v>
      </c>
      <c r="AR36" s="99">
        <v>15</v>
      </c>
      <c r="AS36" s="100"/>
      <c r="AT36" s="101">
        <v>5</v>
      </c>
      <c r="AU36" s="105">
        <v>16</v>
      </c>
      <c r="AV36" s="106"/>
      <c r="AW36" s="107">
        <v>6</v>
      </c>
      <c r="AX36" s="105">
        <v>17</v>
      </c>
      <c r="AY36" s="106"/>
      <c r="AZ36" s="107">
        <v>7</v>
      </c>
      <c r="BA36" s="112">
        <v>18</v>
      </c>
      <c r="BB36" s="113"/>
      <c r="BC36" s="114">
        <v>0</v>
      </c>
    </row>
    <row r="37" spans="1:55" x14ac:dyDescent="0.45">
      <c r="A37" s="400"/>
      <c r="B37" s="401" t="s">
        <v>120</v>
      </c>
      <c r="C37" s="402"/>
      <c r="D37" s="349"/>
      <c r="E37" s="350" t="s">
        <v>122</v>
      </c>
      <c r="F37" s="351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90"/>
      <c r="AM37" s="91" t="s">
        <v>93</v>
      </c>
      <c r="AN37" s="92"/>
      <c r="AO37" s="96"/>
      <c r="AP37" s="97" t="s">
        <v>44</v>
      </c>
      <c r="AQ37" s="98"/>
      <c r="AR37" s="102"/>
      <c r="AS37" s="103" t="s">
        <v>1</v>
      </c>
      <c r="AT37" s="104"/>
      <c r="AU37" s="108"/>
      <c r="AV37" s="111" t="s">
        <v>130</v>
      </c>
      <c r="AW37" s="110"/>
      <c r="AX37" s="108"/>
      <c r="AY37" s="109" t="s">
        <v>3</v>
      </c>
      <c r="AZ37" s="110"/>
      <c r="BA37" s="115"/>
      <c r="BB37" s="116" t="s">
        <v>159</v>
      </c>
      <c r="BC37" s="117"/>
    </row>
    <row r="38" spans="1:55" x14ac:dyDescent="0.45">
      <c r="A38" s="393" t="s">
        <v>121</v>
      </c>
      <c r="B38" s="353"/>
      <c r="C38" s="354"/>
      <c r="D38" s="387" t="s">
        <v>123</v>
      </c>
      <c r="E38" s="356"/>
      <c r="F38" s="357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388"/>
      <c r="AM38" s="347"/>
      <c r="AN38" s="348"/>
      <c r="AO38" s="395"/>
      <c r="AP38" s="372"/>
      <c r="AQ38" s="373"/>
      <c r="AR38" s="396"/>
      <c r="AS38" s="368"/>
      <c r="AT38" s="369"/>
      <c r="AU38" s="405"/>
      <c r="AV38" s="365"/>
      <c r="AW38" s="366"/>
      <c r="AX38" s="403"/>
      <c r="AY38" s="365"/>
      <c r="AZ38" s="366"/>
      <c r="BA38" s="404"/>
      <c r="BB38" s="362"/>
      <c r="BC38" s="363"/>
    </row>
    <row r="39" spans="1:55" x14ac:dyDescent="0.45">
      <c r="A39" s="75">
        <v>19</v>
      </c>
      <c r="B39" s="76"/>
      <c r="C39" s="77">
        <v>1</v>
      </c>
      <c r="D39" s="81">
        <v>20</v>
      </c>
      <c r="E39" s="82"/>
      <c r="F39" s="83">
        <v>2</v>
      </c>
      <c r="G39" s="74"/>
      <c r="H39" s="87">
        <v>21</v>
      </c>
      <c r="I39" s="88"/>
      <c r="J39" s="89">
        <v>3</v>
      </c>
      <c r="K39" s="93">
        <v>22</v>
      </c>
      <c r="L39" s="94"/>
      <c r="M39" s="95">
        <v>4</v>
      </c>
      <c r="N39" s="99">
        <v>23</v>
      </c>
      <c r="O39" s="100"/>
      <c r="P39" s="101">
        <v>5</v>
      </c>
      <c r="Q39" s="105">
        <v>24</v>
      </c>
      <c r="R39" s="106"/>
      <c r="S39" s="107">
        <v>6</v>
      </c>
      <c r="T39" s="105">
        <v>25</v>
      </c>
      <c r="U39" s="106"/>
      <c r="V39" s="107">
        <v>7</v>
      </c>
      <c r="W39" s="105">
        <v>26</v>
      </c>
      <c r="X39" s="106"/>
      <c r="Y39" s="107">
        <v>6</v>
      </c>
      <c r="Z39" s="99">
        <v>27</v>
      </c>
      <c r="AA39" s="100"/>
      <c r="AB39" s="101">
        <v>5</v>
      </c>
      <c r="AC39" s="93">
        <v>28</v>
      </c>
      <c r="AD39" s="94"/>
      <c r="AE39" s="95">
        <v>4</v>
      </c>
      <c r="AF39" s="93">
        <v>29</v>
      </c>
      <c r="AG39" s="94"/>
      <c r="AH39" s="95">
        <v>4</v>
      </c>
      <c r="AI39" s="81">
        <v>30</v>
      </c>
      <c r="AJ39" s="82"/>
      <c r="AK39" s="83">
        <v>2</v>
      </c>
      <c r="AL39" s="87">
        <v>31</v>
      </c>
      <c r="AM39" s="88"/>
      <c r="AN39" s="89">
        <v>3</v>
      </c>
      <c r="AO39" s="93">
        <v>32</v>
      </c>
      <c r="AP39" s="94"/>
      <c r="AQ39" s="95">
        <v>4</v>
      </c>
      <c r="AR39" s="99">
        <v>33</v>
      </c>
      <c r="AS39" s="100"/>
      <c r="AT39" s="101">
        <v>5</v>
      </c>
      <c r="AU39" s="105">
        <v>34</v>
      </c>
      <c r="AV39" s="106"/>
      <c r="AW39" s="107">
        <v>6</v>
      </c>
      <c r="AX39" s="105">
        <v>35</v>
      </c>
      <c r="AY39" s="106"/>
      <c r="AZ39" s="107">
        <v>7</v>
      </c>
      <c r="BA39" s="112">
        <v>36</v>
      </c>
      <c r="BB39" s="113"/>
      <c r="BC39" s="114">
        <v>0</v>
      </c>
    </row>
    <row r="40" spans="1:55" x14ac:dyDescent="0.45">
      <c r="A40" s="400"/>
      <c r="B40" s="401" t="s">
        <v>124</v>
      </c>
      <c r="C40" s="402"/>
      <c r="D40" s="84"/>
      <c r="E40" s="85" t="s">
        <v>126</v>
      </c>
      <c r="F40" s="86"/>
      <c r="G40" s="74"/>
      <c r="H40" s="390"/>
      <c r="I40" s="391" t="s">
        <v>140</v>
      </c>
      <c r="J40" s="392"/>
      <c r="K40" s="96"/>
      <c r="L40" s="97" t="s">
        <v>45</v>
      </c>
      <c r="M40" s="98"/>
      <c r="N40" s="102"/>
      <c r="O40" s="103" t="s">
        <v>4</v>
      </c>
      <c r="P40" s="104"/>
      <c r="Q40" s="108"/>
      <c r="R40" s="109" t="s">
        <v>5</v>
      </c>
      <c r="S40" s="110"/>
      <c r="T40" s="108"/>
      <c r="U40" s="109" t="s">
        <v>6</v>
      </c>
      <c r="V40" s="110"/>
      <c r="W40" s="108"/>
      <c r="X40" s="109" t="s">
        <v>7</v>
      </c>
      <c r="Y40" s="110"/>
      <c r="Z40" s="102"/>
      <c r="AA40" s="103" t="s">
        <v>8</v>
      </c>
      <c r="AB40" s="104"/>
      <c r="AC40" s="96"/>
      <c r="AD40" s="97" t="s">
        <v>46</v>
      </c>
      <c r="AE40" s="98"/>
      <c r="AF40" s="96"/>
      <c r="AG40" s="97" t="s">
        <v>47</v>
      </c>
      <c r="AH40" s="98"/>
      <c r="AI40" s="84"/>
      <c r="AJ40" s="85" t="s">
        <v>160</v>
      </c>
      <c r="AK40" s="86"/>
      <c r="AL40" s="90"/>
      <c r="AM40" s="91" t="s">
        <v>161</v>
      </c>
      <c r="AN40" s="92"/>
      <c r="AO40" s="96"/>
      <c r="AP40" s="97" t="s">
        <v>48</v>
      </c>
      <c r="AQ40" s="98"/>
      <c r="AR40" s="102"/>
      <c r="AS40" s="103" t="s">
        <v>9</v>
      </c>
      <c r="AT40" s="104"/>
      <c r="AU40" s="108"/>
      <c r="AV40" s="109" t="s">
        <v>10</v>
      </c>
      <c r="AW40" s="110"/>
      <c r="AX40" s="108"/>
      <c r="AY40" s="109" t="s">
        <v>11</v>
      </c>
      <c r="AZ40" s="110"/>
      <c r="BA40" s="115"/>
      <c r="BB40" s="116" t="s">
        <v>162</v>
      </c>
      <c r="BC40" s="117"/>
    </row>
    <row r="41" spans="1:55" x14ac:dyDescent="0.45">
      <c r="A41" s="393" t="s">
        <v>125</v>
      </c>
      <c r="B41" s="353"/>
      <c r="C41" s="354"/>
      <c r="D41" s="387" t="s">
        <v>127</v>
      </c>
      <c r="E41" s="356"/>
      <c r="F41" s="357"/>
      <c r="G41" s="74"/>
      <c r="H41" s="388" t="s">
        <v>141</v>
      </c>
      <c r="I41" s="347"/>
      <c r="J41" s="348"/>
      <c r="K41" s="389" t="s">
        <v>148</v>
      </c>
      <c r="L41" s="372"/>
      <c r="M41" s="373"/>
      <c r="N41" s="399"/>
      <c r="O41" s="368"/>
      <c r="P41" s="369"/>
      <c r="Q41" s="385"/>
      <c r="R41" s="365"/>
      <c r="S41" s="366"/>
      <c r="T41" s="385"/>
      <c r="U41" s="365"/>
      <c r="V41" s="366"/>
      <c r="W41" s="385"/>
      <c r="X41" s="365"/>
      <c r="Y41" s="366"/>
      <c r="Z41" s="399"/>
      <c r="AA41" s="368"/>
      <c r="AB41" s="369"/>
      <c r="AC41" s="389"/>
      <c r="AD41" s="372"/>
      <c r="AE41" s="373"/>
      <c r="AF41" s="389"/>
      <c r="AG41" s="372"/>
      <c r="AH41" s="373"/>
      <c r="AI41" s="387"/>
      <c r="AJ41" s="356"/>
      <c r="AK41" s="357"/>
      <c r="AL41" s="388"/>
      <c r="AM41" s="347"/>
      <c r="AN41" s="348"/>
      <c r="AO41" s="389"/>
      <c r="AP41" s="372"/>
      <c r="AQ41" s="373"/>
      <c r="AR41" s="396"/>
      <c r="AS41" s="368"/>
      <c r="AT41" s="369"/>
      <c r="AU41" s="405"/>
      <c r="AV41" s="365"/>
      <c r="AW41" s="366"/>
      <c r="AX41" s="405"/>
      <c r="AY41" s="365"/>
      <c r="AZ41" s="366"/>
      <c r="BA41" s="386"/>
      <c r="BB41" s="362"/>
      <c r="BC41" s="363"/>
    </row>
    <row r="42" spans="1:55" x14ac:dyDescent="0.45">
      <c r="A42" s="75">
        <v>37</v>
      </c>
      <c r="B42" s="76"/>
      <c r="C42" s="77">
        <v>1</v>
      </c>
      <c r="D42" s="81">
        <v>38</v>
      </c>
      <c r="E42" s="82"/>
      <c r="F42" s="83">
        <v>2</v>
      </c>
      <c r="G42" s="74"/>
      <c r="H42" s="87">
        <v>39</v>
      </c>
      <c r="I42" s="88"/>
      <c r="J42" s="89">
        <v>3</v>
      </c>
      <c r="K42" s="93">
        <v>40</v>
      </c>
      <c r="L42" s="94"/>
      <c r="M42" s="95">
        <v>4</v>
      </c>
      <c r="N42" s="99">
        <v>41</v>
      </c>
      <c r="O42" s="100"/>
      <c r="P42" s="101">
        <v>5</v>
      </c>
      <c r="Q42" s="105">
        <v>42</v>
      </c>
      <c r="R42" s="106"/>
      <c r="S42" s="107">
        <v>6</v>
      </c>
      <c r="T42" s="105">
        <v>43</v>
      </c>
      <c r="U42" s="106"/>
      <c r="V42" s="107">
        <v>7</v>
      </c>
      <c r="W42" s="105">
        <v>44</v>
      </c>
      <c r="X42" s="106"/>
      <c r="Y42" s="107">
        <v>6</v>
      </c>
      <c r="Z42" s="99">
        <v>45</v>
      </c>
      <c r="AA42" s="100"/>
      <c r="AB42" s="101">
        <v>5</v>
      </c>
      <c r="AC42" s="93">
        <v>46</v>
      </c>
      <c r="AD42" s="94"/>
      <c r="AE42" s="95">
        <v>4</v>
      </c>
      <c r="AF42" s="93">
        <v>47</v>
      </c>
      <c r="AG42" s="94"/>
      <c r="AH42" s="95">
        <v>4</v>
      </c>
      <c r="AI42" s="81">
        <v>48</v>
      </c>
      <c r="AJ42" s="82"/>
      <c r="AK42" s="83">
        <v>2</v>
      </c>
      <c r="AL42" s="87">
        <v>49</v>
      </c>
      <c r="AM42" s="88"/>
      <c r="AN42" s="89">
        <v>3</v>
      </c>
      <c r="AO42" s="93">
        <v>50</v>
      </c>
      <c r="AP42" s="94"/>
      <c r="AQ42" s="95">
        <v>4</v>
      </c>
      <c r="AR42" s="99">
        <v>51</v>
      </c>
      <c r="AS42" s="100"/>
      <c r="AT42" s="101">
        <v>5</v>
      </c>
      <c r="AU42" s="105">
        <v>52</v>
      </c>
      <c r="AV42" s="106"/>
      <c r="AW42" s="107">
        <v>6</v>
      </c>
      <c r="AX42" s="105">
        <v>53</v>
      </c>
      <c r="AY42" s="106"/>
      <c r="AZ42" s="107">
        <v>7</v>
      </c>
      <c r="BA42" s="112">
        <v>54</v>
      </c>
      <c r="BB42" s="113"/>
      <c r="BC42" s="114">
        <v>0</v>
      </c>
    </row>
    <row r="43" spans="1:55" x14ac:dyDescent="0.45">
      <c r="A43" s="400"/>
      <c r="B43" s="401" t="s">
        <v>128</v>
      </c>
      <c r="C43" s="402"/>
      <c r="D43" s="349"/>
      <c r="E43" s="350" t="s">
        <v>130</v>
      </c>
      <c r="F43" s="351"/>
      <c r="G43" s="74"/>
      <c r="H43" s="90"/>
      <c r="I43" s="91" t="s">
        <v>142</v>
      </c>
      <c r="J43" s="92"/>
      <c r="K43" s="96"/>
      <c r="L43" s="97" t="s">
        <v>49</v>
      </c>
      <c r="M43" s="98"/>
      <c r="N43" s="102"/>
      <c r="O43" s="103" t="s">
        <v>12</v>
      </c>
      <c r="P43" s="104"/>
      <c r="Q43" s="108"/>
      <c r="R43" s="109" t="s">
        <v>13</v>
      </c>
      <c r="S43" s="110"/>
      <c r="T43" s="108"/>
      <c r="U43" s="109" t="s">
        <v>14</v>
      </c>
      <c r="V43" s="110"/>
      <c r="W43" s="108"/>
      <c r="X43" s="109" t="s">
        <v>15</v>
      </c>
      <c r="Y43" s="110"/>
      <c r="Z43" s="102"/>
      <c r="AA43" s="103" t="s">
        <v>17</v>
      </c>
      <c r="AB43" s="104"/>
      <c r="AC43" s="96"/>
      <c r="AD43" s="97" t="s">
        <v>16</v>
      </c>
      <c r="AE43" s="98"/>
      <c r="AF43" s="96"/>
      <c r="AG43" s="97" t="s">
        <v>50</v>
      </c>
      <c r="AH43" s="98"/>
      <c r="AI43" s="84"/>
      <c r="AJ43" s="85" t="s">
        <v>163</v>
      </c>
      <c r="AK43" s="86"/>
      <c r="AL43" s="90"/>
      <c r="AM43" s="91" t="s">
        <v>164</v>
      </c>
      <c r="AN43" s="92"/>
      <c r="AO43" s="96"/>
      <c r="AP43" s="97" t="s">
        <v>51</v>
      </c>
      <c r="AQ43" s="98"/>
      <c r="AR43" s="102"/>
      <c r="AS43" s="103" t="s">
        <v>18</v>
      </c>
      <c r="AT43" s="104"/>
      <c r="AU43" s="108"/>
      <c r="AV43" s="109" t="s">
        <v>19</v>
      </c>
      <c r="AW43" s="110"/>
      <c r="AX43" s="108"/>
      <c r="AY43" s="109" t="s">
        <v>20</v>
      </c>
      <c r="AZ43" s="110"/>
      <c r="BA43" s="115"/>
      <c r="BB43" s="116" t="s">
        <v>165</v>
      </c>
      <c r="BC43" s="117"/>
    </row>
    <row r="44" spans="1:55" x14ac:dyDescent="0.45">
      <c r="A44" s="393" t="s">
        <v>129</v>
      </c>
      <c r="B44" s="353"/>
      <c r="C44" s="354"/>
      <c r="D44" s="387" t="s">
        <v>131</v>
      </c>
      <c r="E44" s="356"/>
      <c r="F44" s="357"/>
      <c r="G44" s="74"/>
      <c r="H44" s="388" t="s">
        <v>143</v>
      </c>
      <c r="I44" s="347"/>
      <c r="J44" s="348"/>
      <c r="K44" s="389" t="s">
        <v>149</v>
      </c>
      <c r="L44" s="372"/>
      <c r="M44" s="373"/>
      <c r="N44" s="399"/>
      <c r="O44" s="368"/>
      <c r="P44" s="369"/>
      <c r="Q44" s="385"/>
      <c r="R44" s="365"/>
      <c r="S44" s="366"/>
      <c r="T44" s="385"/>
      <c r="U44" s="365"/>
      <c r="V44" s="366"/>
      <c r="W44" s="385"/>
      <c r="X44" s="365"/>
      <c r="Y44" s="366"/>
      <c r="Z44" s="399"/>
      <c r="AA44" s="368"/>
      <c r="AB44" s="369"/>
      <c r="AC44" s="389"/>
      <c r="AD44" s="372"/>
      <c r="AE44" s="373"/>
      <c r="AF44" s="389"/>
      <c r="AG44" s="372"/>
      <c r="AH44" s="373"/>
      <c r="AI44" s="387"/>
      <c r="AJ44" s="356"/>
      <c r="AK44" s="357"/>
      <c r="AL44" s="388"/>
      <c r="AM44" s="347"/>
      <c r="AN44" s="348"/>
      <c r="AO44" s="389"/>
      <c r="AP44" s="372"/>
      <c r="AQ44" s="373"/>
      <c r="AR44" s="399"/>
      <c r="AS44" s="368"/>
      <c r="AT44" s="369"/>
      <c r="AU44" s="405"/>
      <c r="AV44" s="365"/>
      <c r="AW44" s="366"/>
      <c r="AX44" s="405"/>
      <c r="AY44" s="365"/>
      <c r="AZ44" s="366"/>
      <c r="BA44" s="375"/>
      <c r="BB44" s="362"/>
      <c r="BC44" s="363"/>
    </row>
    <row r="45" spans="1:55" x14ac:dyDescent="0.45">
      <c r="A45" s="75">
        <v>55</v>
      </c>
      <c r="B45" s="76"/>
      <c r="C45" s="77">
        <v>1</v>
      </c>
      <c r="D45" s="81">
        <v>56</v>
      </c>
      <c r="E45" s="82"/>
      <c r="F45" s="83">
        <v>2</v>
      </c>
      <c r="G45" s="358" t="s">
        <v>152</v>
      </c>
      <c r="H45" s="87">
        <v>71</v>
      </c>
      <c r="I45" s="88"/>
      <c r="J45" s="89">
        <v>3</v>
      </c>
      <c r="K45" s="93">
        <v>72</v>
      </c>
      <c r="L45" s="94"/>
      <c r="M45" s="95">
        <v>4</v>
      </c>
      <c r="N45" s="99">
        <v>73</v>
      </c>
      <c r="O45" s="100"/>
      <c r="P45" s="101">
        <v>5</v>
      </c>
      <c r="Q45" s="105">
        <v>74</v>
      </c>
      <c r="R45" s="106"/>
      <c r="S45" s="107">
        <v>6</v>
      </c>
      <c r="T45" s="105">
        <v>75</v>
      </c>
      <c r="U45" s="106"/>
      <c r="V45" s="107">
        <v>7</v>
      </c>
      <c r="W45" s="105">
        <v>76</v>
      </c>
      <c r="X45" s="106"/>
      <c r="Y45" s="107">
        <v>6</v>
      </c>
      <c r="Z45" s="99">
        <v>77</v>
      </c>
      <c r="AA45" s="100"/>
      <c r="AB45" s="101">
        <v>5</v>
      </c>
      <c r="AC45" s="93">
        <v>78</v>
      </c>
      <c r="AD45" s="94"/>
      <c r="AE45" s="95">
        <v>4</v>
      </c>
      <c r="AF45" s="105">
        <v>79</v>
      </c>
      <c r="AG45" s="106"/>
      <c r="AH45" s="107">
        <v>7</v>
      </c>
      <c r="AI45" s="81">
        <v>80</v>
      </c>
      <c r="AJ45" s="82"/>
      <c r="AK45" s="83">
        <v>2</v>
      </c>
      <c r="AL45" s="87">
        <v>81</v>
      </c>
      <c r="AM45" s="88"/>
      <c r="AN45" s="89">
        <v>3</v>
      </c>
      <c r="AO45" s="93">
        <v>82</v>
      </c>
      <c r="AP45" s="94"/>
      <c r="AQ45" s="95">
        <v>4</v>
      </c>
      <c r="AR45" s="99">
        <v>83</v>
      </c>
      <c r="AS45" s="100"/>
      <c r="AT45" s="101">
        <v>5</v>
      </c>
      <c r="AU45" s="105">
        <v>84</v>
      </c>
      <c r="AV45" s="106"/>
      <c r="AW45" s="107">
        <v>6</v>
      </c>
      <c r="AX45" s="105">
        <v>85</v>
      </c>
      <c r="AY45" s="106"/>
      <c r="AZ45" s="107">
        <v>7</v>
      </c>
      <c r="BA45" s="112">
        <v>86</v>
      </c>
      <c r="BB45" s="113"/>
      <c r="BC45" s="114">
        <v>0</v>
      </c>
    </row>
    <row r="46" spans="1:55" x14ac:dyDescent="0.45">
      <c r="A46" s="78"/>
      <c r="B46" s="79" t="s">
        <v>133</v>
      </c>
      <c r="C46" s="80"/>
      <c r="D46" s="84"/>
      <c r="E46" s="85" t="s">
        <v>132</v>
      </c>
      <c r="F46" s="86"/>
      <c r="G46" s="359"/>
      <c r="H46" s="90"/>
      <c r="I46" s="91" t="s">
        <v>144</v>
      </c>
      <c r="J46" s="92"/>
      <c r="K46" s="96"/>
      <c r="L46" s="97" t="s">
        <v>52</v>
      </c>
      <c r="M46" s="98"/>
      <c r="N46" s="102"/>
      <c r="O46" s="103" t="s">
        <v>21</v>
      </c>
      <c r="P46" s="104"/>
      <c r="Q46" s="108"/>
      <c r="R46" s="109" t="s">
        <v>22</v>
      </c>
      <c r="S46" s="110"/>
      <c r="T46" s="108"/>
      <c r="U46" s="109" t="s">
        <v>23</v>
      </c>
      <c r="V46" s="110"/>
      <c r="W46" s="108"/>
      <c r="X46" s="109" t="s">
        <v>24</v>
      </c>
      <c r="Y46" s="110"/>
      <c r="Z46" s="102"/>
      <c r="AA46" s="103" t="s">
        <v>25</v>
      </c>
      <c r="AB46" s="104"/>
      <c r="AC46" s="96"/>
      <c r="AD46" s="97" t="s">
        <v>53</v>
      </c>
      <c r="AE46" s="98"/>
      <c r="AF46" s="108"/>
      <c r="AG46" s="109" t="s">
        <v>54</v>
      </c>
      <c r="AH46" s="110"/>
      <c r="AI46" s="84"/>
      <c r="AJ46" s="85" t="s">
        <v>166</v>
      </c>
      <c r="AK46" s="86"/>
      <c r="AL46" s="90"/>
      <c r="AM46" s="91" t="s">
        <v>167</v>
      </c>
      <c r="AN46" s="92"/>
      <c r="AO46" s="96"/>
      <c r="AP46" s="97" t="s">
        <v>55</v>
      </c>
      <c r="AQ46" s="98"/>
      <c r="AR46" s="102"/>
      <c r="AS46" s="103" t="s">
        <v>26</v>
      </c>
      <c r="AT46" s="104"/>
      <c r="AU46" s="108"/>
      <c r="AV46" s="109" t="s">
        <v>27</v>
      </c>
      <c r="AW46" s="110"/>
      <c r="AX46" s="108"/>
      <c r="AY46" s="109" t="s">
        <v>28</v>
      </c>
      <c r="AZ46" s="110"/>
      <c r="BA46" s="115"/>
      <c r="BB46" s="116" t="s">
        <v>168</v>
      </c>
      <c r="BC46" s="117"/>
    </row>
    <row r="47" spans="1:55" x14ac:dyDescent="0.45">
      <c r="A47" s="393" t="s">
        <v>134</v>
      </c>
      <c r="B47" s="353"/>
      <c r="C47" s="354"/>
      <c r="D47" s="387" t="s">
        <v>135</v>
      </c>
      <c r="E47" s="356"/>
      <c r="F47" s="357"/>
      <c r="G47" s="360"/>
      <c r="H47" s="388" t="s">
        <v>145</v>
      </c>
      <c r="I47" s="347"/>
      <c r="J47" s="348"/>
      <c r="K47" s="389" t="s">
        <v>150</v>
      </c>
      <c r="L47" s="372"/>
      <c r="M47" s="373"/>
      <c r="N47" s="399"/>
      <c r="O47" s="368"/>
      <c r="P47" s="369"/>
      <c r="Q47" s="385"/>
      <c r="R47" s="365"/>
      <c r="S47" s="366"/>
      <c r="T47" s="385"/>
      <c r="U47" s="365"/>
      <c r="V47" s="366"/>
      <c r="W47" s="385"/>
      <c r="X47" s="365"/>
      <c r="Y47" s="366"/>
      <c r="Z47" s="399"/>
      <c r="AA47" s="368"/>
      <c r="AB47" s="369"/>
      <c r="AC47" s="389"/>
      <c r="AD47" s="372"/>
      <c r="AE47" s="373"/>
      <c r="AF47" s="405"/>
      <c r="AG47" s="365"/>
      <c r="AH47" s="366"/>
      <c r="AI47" s="397"/>
      <c r="AJ47" s="356"/>
      <c r="AK47" s="357"/>
      <c r="AL47" s="388"/>
      <c r="AM47" s="347"/>
      <c r="AN47" s="348"/>
      <c r="AO47" s="389"/>
      <c r="AP47" s="372"/>
      <c r="AQ47" s="373"/>
      <c r="AR47" s="399"/>
      <c r="AS47" s="368"/>
      <c r="AT47" s="369"/>
      <c r="AU47" s="385"/>
      <c r="AV47" s="365"/>
      <c r="AW47" s="366"/>
      <c r="AX47" s="385"/>
      <c r="AY47" s="365"/>
      <c r="AZ47" s="366"/>
      <c r="BA47" s="386"/>
      <c r="BB47" s="362"/>
      <c r="BC47" s="363"/>
    </row>
    <row r="48" spans="1:55" x14ac:dyDescent="0.45">
      <c r="A48" s="75">
        <v>87</v>
      </c>
      <c r="B48" s="76"/>
      <c r="C48" s="77">
        <v>1</v>
      </c>
      <c r="D48" s="81">
        <v>88</v>
      </c>
      <c r="E48" s="82"/>
      <c r="F48" s="83">
        <v>2</v>
      </c>
      <c r="G48" s="358" t="s">
        <v>153</v>
      </c>
      <c r="H48" s="87">
        <v>103</v>
      </c>
      <c r="I48" s="88"/>
      <c r="J48" s="89">
        <v>3</v>
      </c>
      <c r="K48" s="93">
        <v>104</v>
      </c>
      <c r="L48" s="94"/>
      <c r="M48" s="95">
        <v>4</v>
      </c>
      <c r="N48" s="99">
        <v>105</v>
      </c>
      <c r="O48" s="100"/>
      <c r="P48" s="101">
        <v>5</v>
      </c>
      <c r="Q48" s="105">
        <v>106</v>
      </c>
      <c r="R48" s="106"/>
      <c r="S48" s="107">
        <v>6</v>
      </c>
      <c r="T48" s="105">
        <v>107</v>
      </c>
      <c r="U48" s="106"/>
      <c r="V48" s="107">
        <v>7</v>
      </c>
      <c r="W48" s="105">
        <v>108</v>
      </c>
      <c r="X48" s="106"/>
      <c r="Y48" s="107">
        <v>6</v>
      </c>
      <c r="Z48" s="99">
        <v>109</v>
      </c>
      <c r="AA48" s="100"/>
      <c r="AB48" s="101">
        <v>5</v>
      </c>
      <c r="AC48" s="112">
        <v>110</v>
      </c>
      <c r="AD48" s="113"/>
      <c r="AE48" s="114"/>
      <c r="AF48" s="112">
        <v>111</v>
      </c>
      <c r="AG48" s="113"/>
      <c r="AH48" s="114"/>
      <c r="AI48" s="112">
        <v>112</v>
      </c>
      <c r="AJ48" s="113"/>
      <c r="AK48" s="114"/>
      <c r="AL48" s="112">
        <v>113</v>
      </c>
      <c r="AM48" s="113"/>
      <c r="AN48" s="114"/>
      <c r="AO48" s="112">
        <v>114</v>
      </c>
      <c r="AP48" s="113"/>
      <c r="AQ48" s="114"/>
      <c r="AR48" s="112">
        <v>115</v>
      </c>
      <c r="AS48" s="113"/>
      <c r="AT48" s="114"/>
      <c r="AU48" s="112">
        <v>116</v>
      </c>
      <c r="AV48" s="113"/>
      <c r="AW48" s="114"/>
      <c r="AX48" s="112">
        <v>117</v>
      </c>
      <c r="AY48" s="113"/>
      <c r="AZ48" s="114"/>
      <c r="BA48" s="112">
        <v>118</v>
      </c>
      <c r="BB48" s="113"/>
      <c r="BC48" s="114"/>
    </row>
    <row r="49" spans="1:55" x14ac:dyDescent="0.45">
      <c r="A49" s="78"/>
      <c r="B49" s="79" t="s">
        <v>137</v>
      </c>
      <c r="C49" s="80"/>
      <c r="D49" s="84"/>
      <c r="E49" s="85" t="s">
        <v>136</v>
      </c>
      <c r="F49" s="86"/>
      <c r="G49" s="359"/>
      <c r="H49" s="90"/>
      <c r="I49" s="91" t="s">
        <v>146</v>
      </c>
      <c r="J49" s="92"/>
      <c r="K49" s="96"/>
      <c r="L49" s="97" t="s">
        <v>63</v>
      </c>
      <c r="M49" s="98"/>
      <c r="N49" s="102"/>
      <c r="O49" s="103" t="s">
        <v>34</v>
      </c>
      <c r="P49" s="104"/>
      <c r="Q49" s="108"/>
      <c r="R49" s="109" t="s">
        <v>35</v>
      </c>
      <c r="S49" s="110"/>
      <c r="T49" s="108"/>
      <c r="U49" s="109" t="s">
        <v>36</v>
      </c>
      <c r="V49" s="110"/>
      <c r="W49" s="108"/>
      <c r="X49" s="109" t="s">
        <v>37</v>
      </c>
      <c r="Y49" s="110"/>
      <c r="Z49" s="102"/>
      <c r="AA49" s="103" t="s">
        <v>38</v>
      </c>
      <c r="AB49" s="104"/>
      <c r="AC49" s="115"/>
      <c r="AD49" s="116" t="s">
        <v>169</v>
      </c>
      <c r="AE49" s="117"/>
      <c r="AF49" s="115"/>
      <c r="AG49" s="116" t="s">
        <v>170</v>
      </c>
      <c r="AH49" s="117"/>
      <c r="AI49" s="115"/>
      <c r="AJ49" s="116" t="s">
        <v>171</v>
      </c>
      <c r="AK49" s="117"/>
      <c r="AL49" s="115"/>
      <c r="AM49" s="116" t="s">
        <v>172</v>
      </c>
      <c r="AN49" s="117"/>
      <c r="AO49" s="115"/>
      <c r="AP49" s="116" t="s">
        <v>173</v>
      </c>
      <c r="AQ49" s="117"/>
      <c r="AR49" s="115"/>
      <c r="AS49" s="116" t="s">
        <v>174</v>
      </c>
      <c r="AT49" s="117"/>
      <c r="AU49" s="115"/>
      <c r="AV49" s="116" t="s">
        <v>175</v>
      </c>
      <c r="AW49" s="117"/>
      <c r="AX49" s="115"/>
      <c r="AY49" s="116" t="s">
        <v>176</v>
      </c>
      <c r="AZ49" s="117"/>
      <c r="BA49" s="115"/>
      <c r="BB49" s="116" t="s">
        <v>177</v>
      </c>
      <c r="BC49" s="117"/>
    </row>
    <row r="50" spans="1:55" x14ac:dyDescent="0.45">
      <c r="A50" s="393" t="s">
        <v>138</v>
      </c>
      <c r="B50" s="353"/>
      <c r="C50" s="354"/>
      <c r="D50" s="387" t="s">
        <v>139</v>
      </c>
      <c r="E50" s="356"/>
      <c r="F50" s="357"/>
      <c r="G50" s="360"/>
      <c r="H50" s="388" t="s">
        <v>147</v>
      </c>
      <c r="I50" s="347"/>
      <c r="J50" s="348"/>
      <c r="K50" s="389" t="s">
        <v>151</v>
      </c>
      <c r="L50" s="372"/>
      <c r="M50" s="373"/>
      <c r="N50" s="399"/>
      <c r="O50" s="368"/>
      <c r="P50" s="369"/>
      <c r="Q50" s="385"/>
      <c r="R50" s="365"/>
      <c r="S50" s="366"/>
      <c r="T50" s="385"/>
      <c r="U50" s="365"/>
      <c r="V50" s="366"/>
      <c r="W50" s="385"/>
      <c r="X50" s="365"/>
      <c r="Y50" s="366"/>
      <c r="Z50" s="396"/>
      <c r="AA50" s="368"/>
      <c r="AB50" s="369"/>
      <c r="AC50" s="404"/>
      <c r="AD50" s="362"/>
      <c r="AE50" s="363"/>
      <c r="AF50" s="404"/>
      <c r="AG50" s="362"/>
      <c r="AH50" s="363"/>
      <c r="AI50" s="375"/>
      <c r="AJ50" s="362"/>
      <c r="AK50" s="363"/>
      <c r="AL50" s="375"/>
      <c r="AM50" s="362"/>
      <c r="AN50" s="363"/>
      <c r="AO50" s="375"/>
      <c r="AP50" s="362"/>
      <c r="AQ50" s="363"/>
      <c r="AR50" s="375"/>
      <c r="AS50" s="362"/>
      <c r="AT50" s="363"/>
      <c r="AU50" s="375"/>
      <c r="AV50" s="362"/>
      <c r="AW50" s="363"/>
      <c r="AX50" s="375"/>
      <c r="AY50" s="362"/>
      <c r="AZ50" s="363"/>
      <c r="BA50" s="375"/>
      <c r="BB50" s="362"/>
      <c r="BC50" s="363"/>
    </row>
    <row r="51" spans="1:55" x14ac:dyDescent="0.45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</row>
  </sheetData>
  <mergeCells count="232">
    <mergeCell ref="A31:C31"/>
    <mergeCell ref="A34:C34"/>
    <mergeCell ref="D34:F34"/>
    <mergeCell ref="A37:C37"/>
    <mergeCell ref="D37:F37"/>
    <mergeCell ref="A40:C40"/>
    <mergeCell ref="A2:C2"/>
    <mergeCell ref="A5:C5"/>
    <mergeCell ref="D5:F5"/>
    <mergeCell ref="A8:C8"/>
    <mergeCell ref="D8:F8"/>
    <mergeCell ref="A3:C3"/>
    <mergeCell ref="A6:C6"/>
    <mergeCell ref="D6:F6"/>
    <mergeCell ref="A9:C9"/>
    <mergeCell ref="D9:F9"/>
    <mergeCell ref="A21:C21"/>
    <mergeCell ref="D21:F21"/>
    <mergeCell ref="H11:J11"/>
    <mergeCell ref="A11:C11"/>
    <mergeCell ref="A14:C14"/>
    <mergeCell ref="AR50:AT50"/>
    <mergeCell ref="D47:F47"/>
    <mergeCell ref="H47:J47"/>
    <mergeCell ref="K47:M47"/>
    <mergeCell ref="N47:P47"/>
    <mergeCell ref="AL44:AN44"/>
    <mergeCell ref="AO44:AQ44"/>
    <mergeCell ref="AR44:AT44"/>
    <mergeCell ref="AR41:AT41"/>
    <mergeCell ref="A32:C32"/>
    <mergeCell ref="AC25:AE25"/>
    <mergeCell ref="AF25:AH25"/>
    <mergeCell ref="AI25:AK25"/>
    <mergeCell ref="AL25:AN25"/>
    <mergeCell ref="Q21:S21"/>
    <mergeCell ref="T21:V21"/>
    <mergeCell ref="A44:C44"/>
    <mergeCell ref="D44:F44"/>
    <mergeCell ref="H44:J44"/>
    <mergeCell ref="K44:M44"/>
    <mergeCell ref="N44:P44"/>
    <mergeCell ref="AU50:AW50"/>
    <mergeCell ref="AX50:AZ50"/>
    <mergeCell ref="BA50:BC50"/>
    <mergeCell ref="Z50:AB50"/>
    <mergeCell ref="AC50:AE50"/>
    <mergeCell ref="AF50:AH50"/>
    <mergeCell ref="AI50:AK50"/>
    <mergeCell ref="AL50:AN50"/>
    <mergeCell ref="AO50:AQ50"/>
    <mergeCell ref="BA47:BC47"/>
    <mergeCell ref="G48:G50"/>
    <mergeCell ref="A50:C50"/>
    <mergeCell ref="D50:F50"/>
    <mergeCell ref="H50:J50"/>
    <mergeCell ref="K50:M50"/>
    <mergeCell ref="N50:P50"/>
    <mergeCell ref="Q50:S50"/>
    <mergeCell ref="T50:V50"/>
    <mergeCell ref="W50:Y50"/>
    <mergeCell ref="AI47:AK47"/>
    <mergeCell ref="AL47:AN47"/>
    <mergeCell ref="AO47:AQ47"/>
    <mergeCell ref="AR47:AT47"/>
    <mergeCell ref="AU47:AW47"/>
    <mergeCell ref="AX47:AZ47"/>
    <mergeCell ref="Q47:S47"/>
    <mergeCell ref="T47:V47"/>
    <mergeCell ref="W47:Y47"/>
    <mergeCell ref="Z47:AB47"/>
    <mergeCell ref="AC47:AE47"/>
    <mergeCell ref="AF47:AH47"/>
    <mergeCell ref="G45:G47"/>
    <mergeCell ref="A47:C47"/>
    <mergeCell ref="AU44:AW44"/>
    <mergeCell ref="AX44:AZ44"/>
    <mergeCell ref="BA44:BC44"/>
    <mergeCell ref="T44:V44"/>
    <mergeCell ref="W44:Y44"/>
    <mergeCell ref="Z44:AB44"/>
    <mergeCell ref="AC44:AE44"/>
    <mergeCell ref="AF44:AH44"/>
    <mergeCell ref="AI44:AK44"/>
    <mergeCell ref="Q44:S44"/>
    <mergeCell ref="Z41:AB41"/>
    <mergeCell ref="AC41:AE41"/>
    <mergeCell ref="AF41:AH41"/>
    <mergeCell ref="A43:C43"/>
    <mergeCell ref="D43:F43"/>
    <mergeCell ref="AX38:AZ38"/>
    <mergeCell ref="BA38:BC38"/>
    <mergeCell ref="A41:C41"/>
    <mergeCell ref="D41:F41"/>
    <mergeCell ref="H41:J41"/>
    <mergeCell ref="K41:M41"/>
    <mergeCell ref="N41:P41"/>
    <mergeCell ref="Q41:S41"/>
    <mergeCell ref="T41:V41"/>
    <mergeCell ref="W41:Y41"/>
    <mergeCell ref="A38:C38"/>
    <mergeCell ref="D38:F38"/>
    <mergeCell ref="AL38:AN38"/>
    <mergeCell ref="AO38:AQ38"/>
    <mergeCell ref="AR38:AT38"/>
    <mergeCell ref="AU38:AW38"/>
    <mergeCell ref="AU41:AW41"/>
    <mergeCell ref="AX41:AZ41"/>
    <mergeCell ref="BA41:BC41"/>
    <mergeCell ref="AI41:AK41"/>
    <mergeCell ref="AL41:AN41"/>
    <mergeCell ref="AO41:AQ41"/>
    <mergeCell ref="H40:J40"/>
    <mergeCell ref="BA32:BC32"/>
    <mergeCell ref="A35:C35"/>
    <mergeCell ref="D35:F35"/>
    <mergeCell ref="AL35:AN35"/>
    <mergeCell ref="AO35:AQ35"/>
    <mergeCell ref="AR35:AT35"/>
    <mergeCell ref="AU35:AW35"/>
    <mergeCell ref="AX35:AZ35"/>
    <mergeCell ref="BA35:BC35"/>
    <mergeCell ref="AX28:AZ28"/>
    <mergeCell ref="BA28:BC28"/>
    <mergeCell ref="M23:M25"/>
    <mergeCell ref="M26:M28"/>
    <mergeCell ref="BA3:BC3"/>
    <mergeCell ref="AC28:AE28"/>
    <mergeCell ref="AF28:AH28"/>
    <mergeCell ref="AI28:AK28"/>
    <mergeCell ref="AL28:AN28"/>
    <mergeCell ref="AO28:AQ28"/>
    <mergeCell ref="AR28:AT28"/>
    <mergeCell ref="AO25:AQ25"/>
    <mergeCell ref="AR25:AT25"/>
    <mergeCell ref="AU25:AW25"/>
    <mergeCell ref="AX25:AZ25"/>
    <mergeCell ref="BA25:BC25"/>
    <mergeCell ref="N28:P28"/>
    <mergeCell ref="Q28:S28"/>
    <mergeCell ref="T28:V28"/>
    <mergeCell ref="W28:Y28"/>
    <mergeCell ref="Z28:AB28"/>
    <mergeCell ref="W25:Y25"/>
    <mergeCell ref="Z25:AB25"/>
    <mergeCell ref="K12:M12"/>
    <mergeCell ref="K15:M15"/>
    <mergeCell ref="K18:M18"/>
    <mergeCell ref="K21:M21"/>
    <mergeCell ref="N12:P12"/>
    <mergeCell ref="N15:P15"/>
    <mergeCell ref="N18:P18"/>
    <mergeCell ref="N21:P21"/>
    <mergeCell ref="AU28:AW28"/>
    <mergeCell ref="N25:P25"/>
    <mergeCell ref="Q25:S25"/>
    <mergeCell ref="T25:V25"/>
    <mergeCell ref="Q12:S12"/>
    <mergeCell ref="T12:V12"/>
    <mergeCell ref="Q15:S15"/>
    <mergeCell ref="T15:V15"/>
    <mergeCell ref="Q18:S18"/>
    <mergeCell ref="T18:V18"/>
    <mergeCell ref="AC12:AE12"/>
    <mergeCell ref="AC15:AE15"/>
    <mergeCell ref="AC18:AE18"/>
    <mergeCell ref="AC21:AE21"/>
    <mergeCell ref="AF12:AH12"/>
    <mergeCell ref="AF15:AH15"/>
    <mergeCell ref="AF18:AH18"/>
    <mergeCell ref="BA6:BC6"/>
    <mergeCell ref="BA9:BC9"/>
    <mergeCell ref="BA12:BC12"/>
    <mergeCell ref="BA15:BC15"/>
    <mergeCell ref="BA18:BC18"/>
    <mergeCell ref="BA21:BC21"/>
    <mergeCell ref="AX6:AZ6"/>
    <mergeCell ref="AX9:AZ9"/>
    <mergeCell ref="AX12:AZ12"/>
    <mergeCell ref="AX15:AZ15"/>
    <mergeCell ref="AX18:AZ18"/>
    <mergeCell ref="AX21:AZ21"/>
    <mergeCell ref="AU6:AW6"/>
    <mergeCell ref="AU9:AW9"/>
    <mergeCell ref="AU12:AW12"/>
    <mergeCell ref="AU15:AW15"/>
    <mergeCell ref="AU18:AW18"/>
    <mergeCell ref="AU21:AW21"/>
    <mergeCell ref="AR6:AT6"/>
    <mergeCell ref="AR9:AT9"/>
    <mergeCell ref="AR12:AT12"/>
    <mergeCell ref="AR15:AT15"/>
    <mergeCell ref="AR18:AT18"/>
    <mergeCell ref="AR21:AT21"/>
    <mergeCell ref="AO6:AQ6"/>
    <mergeCell ref="AO9:AQ9"/>
    <mergeCell ref="AO12:AQ12"/>
    <mergeCell ref="AO15:AQ15"/>
    <mergeCell ref="AO18:AQ18"/>
    <mergeCell ref="AO21:AQ21"/>
    <mergeCell ref="AI12:AK12"/>
    <mergeCell ref="AI15:AK15"/>
    <mergeCell ref="AI18:AK18"/>
    <mergeCell ref="AI21:AK21"/>
    <mergeCell ref="AL6:AN6"/>
    <mergeCell ref="AL9:AN9"/>
    <mergeCell ref="AL12:AN12"/>
    <mergeCell ref="AL15:AN15"/>
    <mergeCell ref="AL18:AN18"/>
    <mergeCell ref="AL21:AN21"/>
    <mergeCell ref="AF21:AH21"/>
    <mergeCell ref="W12:Y12"/>
    <mergeCell ref="W15:Y15"/>
    <mergeCell ref="W18:Y18"/>
    <mergeCell ref="W21:Y21"/>
    <mergeCell ref="Z12:AB12"/>
    <mergeCell ref="Z15:AB15"/>
    <mergeCell ref="Z18:AB18"/>
    <mergeCell ref="Z21:AB21"/>
    <mergeCell ref="H12:J12"/>
    <mergeCell ref="H15:J15"/>
    <mergeCell ref="H18:J18"/>
    <mergeCell ref="H21:J21"/>
    <mergeCell ref="D14:F14"/>
    <mergeCell ref="A12:C12"/>
    <mergeCell ref="D12:F12"/>
    <mergeCell ref="A15:C15"/>
    <mergeCell ref="D15:F15"/>
    <mergeCell ref="A18:C18"/>
    <mergeCell ref="D18:F18"/>
    <mergeCell ref="G16:G18"/>
    <mergeCell ref="G19:G21"/>
  </mergeCells>
  <phoneticPr fontId="2"/>
  <pageMargins left="0.7" right="0.7" top="0.75" bottom="0.75" header="0.3" footer="0.3"/>
  <pageSetup paperSize="0" orientation="portrait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C3C98-26FC-4C0C-96FB-131F65317A50}">
  <dimension ref="C2:AA25"/>
  <sheetViews>
    <sheetView workbookViewId="0">
      <selection activeCell="N9" sqref="N9"/>
    </sheetView>
  </sheetViews>
  <sheetFormatPr defaultColWidth="5" defaultRowHeight="22.2" x14ac:dyDescent="0.45"/>
  <cols>
    <col min="1" max="16384" width="5" style="60"/>
  </cols>
  <sheetData>
    <row r="2" spans="3:27" x14ac:dyDescent="0.45">
      <c r="Q2" s="126">
        <v>47</v>
      </c>
      <c r="S2" s="124" t="s">
        <v>206</v>
      </c>
    </row>
    <row r="3" spans="3:27" x14ac:dyDescent="0.45">
      <c r="C3" s="60">
        <v>79</v>
      </c>
      <c r="D3" s="60" t="s">
        <v>39</v>
      </c>
      <c r="E3" s="60">
        <v>40</v>
      </c>
      <c r="F3" s="60" t="s">
        <v>40</v>
      </c>
      <c r="G3" s="60">
        <v>39</v>
      </c>
      <c r="Q3" s="126">
        <v>79</v>
      </c>
      <c r="S3" s="125" t="s">
        <v>207</v>
      </c>
    </row>
    <row r="4" spans="3:27" x14ac:dyDescent="0.45">
      <c r="C4" s="123">
        <v>40</v>
      </c>
      <c r="D4" s="123" t="s">
        <v>39</v>
      </c>
      <c r="E4" s="123">
        <v>20</v>
      </c>
      <c r="F4" s="123" t="s">
        <v>40</v>
      </c>
      <c r="G4" s="123">
        <v>20</v>
      </c>
      <c r="I4" s="60">
        <v>39</v>
      </c>
      <c r="J4" s="60" t="s">
        <v>39</v>
      </c>
      <c r="K4" s="60">
        <v>20</v>
      </c>
      <c r="L4" s="60" t="s">
        <v>40</v>
      </c>
      <c r="M4" s="60">
        <v>19</v>
      </c>
    </row>
    <row r="5" spans="3:27" x14ac:dyDescent="0.45">
      <c r="C5" s="123">
        <v>20</v>
      </c>
      <c r="D5" s="123" t="s">
        <v>39</v>
      </c>
      <c r="E5" s="123">
        <v>10</v>
      </c>
      <c r="F5" s="123" t="s">
        <v>40</v>
      </c>
      <c r="G5" s="123">
        <v>10</v>
      </c>
      <c r="I5" s="60">
        <v>19</v>
      </c>
      <c r="J5" s="60" t="s">
        <v>39</v>
      </c>
      <c r="K5" s="60">
        <v>10</v>
      </c>
      <c r="L5" s="60" t="s">
        <v>40</v>
      </c>
      <c r="M5" s="60">
        <v>9</v>
      </c>
    </row>
    <row r="6" spans="3:27" x14ac:dyDescent="0.45">
      <c r="C6" s="123">
        <v>10</v>
      </c>
      <c r="D6" s="123" t="s">
        <v>39</v>
      </c>
      <c r="E6" s="123">
        <v>5</v>
      </c>
      <c r="F6" s="123" t="s">
        <v>40</v>
      </c>
      <c r="G6" s="123">
        <v>5</v>
      </c>
      <c r="I6" s="60">
        <v>9</v>
      </c>
      <c r="J6" s="60" t="s">
        <v>39</v>
      </c>
      <c r="K6" s="60">
        <v>5</v>
      </c>
      <c r="L6" s="60" t="s">
        <v>40</v>
      </c>
      <c r="M6" s="60">
        <v>4</v>
      </c>
      <c r="Q6" s="60">
        <v>47</v>
      </c>
      <c r="R6" s="60" t="s">
        <v>39</v>
      </c>
      <c r="S6" s="60">
        <f>24</f>
        <v>24</v>
      </c>
      <c r="T6" s="60" t="s">
        <v>40</v>
      </c>
      <c r="U6" s="60">
        <v>23</v>
      </c>
      <c r="W6" s="60">
        <v>79</v>
      </c>
      <c r="X6" s="60" t="s">
        <v>39</v>
      </c>
      <c r="Y6" s="60">
        <v>40</v>
      </c>
      <c r="Z6" s="60" t="s">
        <v>40</v>
      </c>
      <c r="AA6" s="60">
        <v>39</v>
      </c>
    </row>
    <row r="7" spans="3:27" x14ac:dyDescent="0.45">
      <c r="Q7" s="60">
        <v>24</v>
      </c>
      <c r="R7" s="60" t="s">
        <v>39</v>
      </c>
      <c r="S7" s="60">
        <v>12</v>
      </c>
      <c r="T7" s="60" t="s">
        <v>40</v>
      </c>
      <c r="U7" s="60">
        <v>12</v>
      </c>
      <c r="W7" s="60">
        <v>39</v>
      </c>
      <c r="X7" s="60" t="s">
        <v>39</v>
      </c>
      <c r="Y7" s="60">
        <v>20</v>
      </c>
      <c r="Z7" s="60" t="s">
        <v>40</v>
      </c>
      <c r="AA7" s="60">
        <v>19</v>
      </c>
    </row>
    <row r="8" spans="3:27" x14ac:dyDescent="0.45">
      <c r="C8" s="60">
        <v>40</v>
      </c>
      <c r="D8" s="60" t="s">
        <v>40</v>
      </c>
      <c r="E8" s="60">
        <v>20</v>
      </c>
      <c r="F8" s="60" t="s">
        <v>39</v>
      </c>
      <c r="G8" s="60">
        <v>60</v>
      </c>
      <c r="Q8" s="60">
        <v>23</v>
      </c>
      <c r="R8" s="60" t="s">
        <v>39</v>
      </c>
      <c r="S8" s="60">
        <v>12</v>
      </c>
      <c r="T8" s="60" t="s">
        <v>40</v>
      </c>
      <c r="U8" s="60">
        <v>11</v>
      </c>
      <c r="W8" s="60">
        <v>20</v>
      </c>
      <c r="X8" s="60" t="s">
        <v>39</v>
      </c>
      <c r="Y8" s="60">
        <v>10</v>
      </c>
      <c r="Z8" s="60" t="s">
        <v>40</v>
      </c>
      <c r="AA8" s="60">
        <v>10</v>
      </c>
    </row>
    <row r="9" spans="3:27" x14ac:dyDescent="0.45">
      <c r="C9" s="60">
        <v>10</v>
      </c>
      <c r="D9" s="60" t="s">
        <v>40</v>
      </c>
      <c r="E9" s="60">
        <v>60</v>
      </c>
      <c r="F9" s="60" t="s">
        <v>39</v>
      </c>
      <c r="G9" s="60">
        <v>70</v>
      </c>
      <c r="Q9" s="60">
        <v>12</v>
      </c>
      <c r="R9" s="60" t="s">
        <v>39</v>
      </c>
      <c r="S9" s="60">
        <v>6</v>
      </c>
      <c r="T9" s="60" t="s">
        <v>40</v>
      </c>
      <c r="U9" s="60">
        <v>6</v>
      </c>
      <c r="W9" s="60">
        <v>19</v>
      </c>
      <c r="X9" s="60" t="s">
        <v>39</v>
      </c>
      <c r="Y9" s="60">
        <v>10</v>
      </c>
      <c r="Z9" s="60" t="s">
        <v>40</v>
      </c>
      <c r="AA9" s="60">
        <v>9</v>
      </c>
    </row>
    <row r="10" spans="3:27" x14ac:dyDescent="0.45">
      <c r="C10" s="60">
        <v>5</v>
      </c>
      <c r="D10" s="60" t="s">
        <v>40</v>
      </c>
      <c r="E10" s="60">
        <v>70</v>
      </c>
      <c r="F10" s="60" t="s">
        <v>39</v>
      </c>
      <c r="G10" s="60">
        <v>75</v>
      </c>
      <c r="Q10" s="60">
        <v>11</v>
      </c>
      <c r="R10" s="60" t="s">
        <v>39</v>
      </c>
      <c r="S10" s="60">
        <v>6</v>
      </c>
      <c r="T10" s="60" t="s">
        <v>40</v>
      </c>
      <c r="U10" s="60">
        <v>5</v>
      </c>
      <c r="W10" s="60">
        <v>10</v>
      </c>
      <c r="X10" s="60" t="s">
        <v>39</v>
      </c>
      <c r="Y10" s="60">
        <v>5</v>
      </c>
      <c r="Z10" s="60" t="s">
        <v>40</v>
      </c>
      <c r="AA10" s="60">
        <v>5</v>
      </c>
    </row>
    <row r="11" spans="3:27" x14ac:dyDescent="0.45">
      <c r="W11" s="60">
        <v>9</v>
      </c>
      <c r="X11" s="60" t="s">
        <v>39</v>
      </c>
      <c r="Y11" s="60">
        <v>5</v>
      </c>
      <c r="Z11" s="60" t="s">
        <v>40</v>
      </c>
      <c r="AA11" s="60">
        <v>4</v>
      </c>
    </row>
    <row r="12" spans="3:27" x14ac:dyDescent="0.45">
      <c r="C12" s="60">
        <v>75</v>
      </c>
      <c r="D12" s="60" t="s">
        <v>39</v>
      </c>
      <c r="E12" s="60">
        <v>38</v>
      </c>
      <c r="F12" s="60" t="s">
        <v>40</v>
      </c>
      <c r="G12" s="60">
        <v>37</v>
      </c>
    </row>
    <row r="13" spans="3:27" x14ac:dyDescent="0.45">
      <c r="C13" s="60">
        <v>37</v>
      </c>
      <c r="D13" s="60" t="s">
        <v>39</v>
      </c>
      <c r="E13" s="60">
        <v>19</v>
      </c>
      <c r="F13" s="60" t="s">
        <v>40</v>
      </c>
      <c r="G13" s="60">
        <v>18</v>
      </c>
      <c r="Q13" s="60">
        <v>8</v>
      </c>
      <c r="R13" s="60">
        <v>16</v>
      </c>
      <c r="S13" s="60">
        <v>32</v>
      </c>
      <c r="T13" s="60">
        <v>64</v>
      </c>
    </row>
    <row r="14" spans="3:27" x14ac:dyDescent="0.45">
      <c r="C14" s="60">
        <v>18</v>
      </c>
      <c r="D14" s="60" t="s">
        <v>39</v>
      </c>
      <c r="E14" s="60">
        <v>9</v>
      </c>
      <c r="F14" s="60" t="s">
        <v>40</v>
      </c>
      <c r="G14" s="60">
        <v>9</v>
      </c>
    </row>
    <row r="17" spans="3:24" x14ac:dyDescent="0.45">
      <c r="C17" s="60" t="s">
        <v>115</v>
      </c>
      <c r="D17" s="60" t="s">
        <v>115</v>
      </c>
      <c r="E17" s="60" t="s">
        <v>115</v>
      </c>
      <c r="H17" s="60" t="s">
        <v>43</v>
      </c>
      <c r="I17" s="60">
        <v>6</v>
      </c>
      <c r="Q17" s="60" t="s">
        <v>115</v>
      </c>
      <c r="R17" s="60" t="s">
        <v>43</v>
      </c>
      <c r="S17" s="60" t="s">
        <v>43</v>
      </c>
      <c r="T17" s="60" t="s">
        <v>115</v>
      </c>
      <c r="W17" s="60" t="s">
        <v>155</v>
      </c>
      <c r="X17" s="60">
        <v>1</v>
      </c>
    </row>
    <row r="18" spans="3:24" x14ac:dyDescent="0.45">
      <c r="C18" s="60" t="s">
        <v>43</v>
      </c>
      <c r="D18" s="60" t="s">
        <v>43</v>
      </c>
      <c r="E18" s="60" t="s">
        <v>43</v>
      </c>
      <c r="H18" s="60" t="s">
        <v>115</v>
      </c>
      <c r="I18" s="60">
        <v>6</v>
      </c>
      <c r="R18" s="60" t="s">
        <v>115</v>
      </c>
      <c r="S18" s="60" t="s">
        <v>115</v>
      </c>
      <c r="W18" s="60" t="s">
        <v>0</v>
      </c>
      <c r="X18" s="60">
        <v>3</v>
      </c>
    </row>
    <row r="19" spans="3:24" x14ac:dyDescent="0.45">
      <c r="C19" s="60" t="s">
        <v>43</v>
      </c>
      <c r="D19" s="60" t="s">
        <v>43</v>
      </c>
      <c r="E19" s="60" t="s">
        <v>43</v>
      </c>
      <c r="R19" s="60" t="s">
        <v>43</v>
      </c>
      <c r="S19" s="60" t="s">
        <v>43</v>
      </c>
      <c r="T19" s="60" t="s">
        <v>115</v>
      </c>
      <c r="W19" s="60" t="s">
        <v>43</v>
      </c>
      <c r="X19" s="60">
        <v>4</v>
      </c>
    </row>
    <row r="20" spans="3:24" x14ac:dyDescent="0.45">
      <c r="C20" s="60" t="s">
        <v>115</v>
      </c>
      <c r="D20" s="60" t="s">
        <v>115</v>
      </c>
      <c r="E20" s="60" t="s">
        <v>115</v>
      </c>
      <c r="Q20" s="60" t="s">
        <v>155</v>
      </c>
      <c r="R20" s="60" t="s">
        <v>43</v>
      </c>
      <c r="W20" s="60" t="s">
        <v>115</v>
      </c>
      <c r="X20" s="60">
        <v>5</v>
      </c>
    </row>
    <row r="21" spans="3:24" x14ac:dyDescent="0.45">
      <c r="R21" s="60" t="s">
        <v>115</v>
      </c>
      <c r="S21" s="60" t="s">
        <v>115</v>
      </c>
    </row>
    <row r="22" spans="3:24" x14ac:dyDescent="0.45">
      <c r="C22" s="60" t="s">
        <v>115</v>
      </c>
      <c r="D22" s="60" t="s">
        <v>155</v>
      </c>
      <c r="H22" s="60" t="s">
        <v>155</v>
      </c>
      <c r="I22" s="60">
        <v>3</v>
      </c>
      <c r="R22" s="60" t="s">
        <v>115</v>
      </c>
    </row>
    <row r="23" spans="3:24" x14ac:dyDescent="0.45">
      <c r="C23" s="60" t="s">
        <v>115</v>
      </c>
      <c r="D23" s="60" t="s">
        <v>43</v>
      </c>
      <c r="E23" s="60" t="s">
        <v>0</v>
      </c>
      <c r="F23" s="60" t="s">
        <v>115</v>
      </c>
      <c r="H23" s="60" t="s">
        <v>0</v>
      </c>
      <c r="I23" s="60">
        <v>2</v>
      </c>
    </row>
    <row r="24" spans="3:24" x14ac:dyDescent="0.45">
      <c r="C24" s="60" t="s">
        <v>43</v>
      </c>
      <c r="D24" s="60" t="s">
        <v>0</v>
      </c>
      <c r="E24" s="60" t="s">
        <v>43</v>
      </c>
      <c r="F24" s="60" t="s">
        <v>155</v>
      </c>
      <c r="H24" s="60" t="s">
        <v>43</v>
      </c>
      <c r="I24" s="60">
        <v>2</v>
      </c>
    </row>
    <row r="25" spans="3:24" x14ac:dyDescent="0.45">
      <c r="C25" s="60" t="s">
        <v>155</v>
      </c>
      <c r="D25" s="60" t="s">
        <v>115</v>
      </c>
      <c r="H25" s="60" t="s">
        <v>115</v>
      </c>
      <c r="I25" s="60">
        <v>4</v>
      </c>
    </row>
  </sheetData>
  <phoneticPr fontId="2"/>
  <pageMargins left="0.7" right="0.7" top="0.75" bottom="0.75" header="0.3" footer="0.3"/>
  <pageSetup paperSize="0" orientation="portrait" horizontalDpi="0" verticalDpi="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05911-CC0A-483F-A66F-E7D3C3BCA9E9}">
  <dimension ref="B1:AL13"/>
  <sheetViews>
    <sheetView tabSelected="1" workbookViewId="0">
      <selection activeCell="E4" sqref="E4"/>
    </sheetView>
  </sheetViews>
  <sheetFormatPr defaultColWidth="3" defaultRowHeight="18" x14ac:dyDescent="0.45"/>
  <cols>
    <col min="1" max="1" width="3" style="345"/>
    <col min="2" max="9" width="3.3984375" style="345" bestFit="1" customWidth="1"/>
    <col min="10" max="13" width="3" style="345"/>
    <col min="14" max="14" width="3.3984375" style="345" bestFit="1" customWidth="1"/>
    <col min="15" max="15" width="3" style="345"/>
    <col min="16" max="16" width="3.3984375" style="345" bestFit="1" customWidth="1"/>
    <col min="17" max="17" width="3" style="345"/>
    <col min="18" max="18" width="3.3984375" style="345" bestFit="1" customWidth="1"/>
    <col min="19" max="16384" width="3" style="345"/>
  </cols>
  <sheetData>
    <row r="1" spans="2:38" x14ac:dyDescent="0.45">
      <c r="B1" s="345" t="s">
        <v>389</v>
      </c>
      <c r="AF1" s="345" t="s">
        <v>418</v>
      </c>
    </row>
    <row r="2" spans="2:38" x14ac:dyDescent="0.45">
      <c r="B2" s="345" t="s">
        <v>22</v>
      </c>
      <c r="C2" s="345">
        <v>74</v>
      </c>
      <c r="D2" s="345" t="s">
        <v>39</v>
      </c>
      <c r="E2" s="345">
        <v>32</v>
      </c>
      <c r="F2" s="345" t="s">
        <v>40</v>
      </c>
      <c r="G2" s="345">
        <v>32</v>
      </c>
      <c r="H2" s="345" t="s">
        <v>40</v>
      </c>
      <c r="I2" s="345">
        <v>10</v>
      </c>
      <c r="AF2" s="345" t="s">
        <v>419</v>
      </c>
      <c r="AH2" s="345">
        <v>8</v>
      </c>
      <c r="AI2" s="345" t="s">
        <v>40</v>
      </c>
      <c r="AJ2" s="345">
        <v>1</v>
      </c>
      <c r="AK2" s="345" t="s">
        <v>91</v>
      </c>
      <c r="AL2" s="345">
        <v>2</v>
      </c>
    </row>
    <row r="3" spans="2:38" x14ac:dyDescent="0.45">
      <c r="B3" s="345" t="s">
        <v>28</v>
      </c>
      <c r="C3" s="345">
        <v>85</v>
      </c>
      <c r="D3" s="345" t="s">
        <v>39</v>
      </c>
      <c r="E3" s="345">
        <v>32</v>
      </c>
      <c r="F3" s="345" t="s">
        <v>40</v>
      </c>
      <c r="G3" s="345">
        <v>32</v>
      </c>
      <c r="H3" s="345" t="s">
        <v>40</v>
      </c>
      <c r="I3" s="345">
        <v>21</v>
      </c>
    </row>
    <row r="4" spans="2:38" x14ac:dyDescent="0.45">
      <c r="B4" s="345" t="s">
        <v>186</v>
      </c>
      <c r="C4" s="345">
        <v>68</v>
      </c>
      <c r="D4" s="345" t="s">
        <v>39</v>
      </c>
    </row>
    <row r="7" spans="2:38" x14ac:dyDescent="0.45">
      <c r="B7" s="345">
        <v>85</v>
      </c>
      <c r="C7" s="345" t="s">
        <v>39</v>
      </c>
      <c r="D7" s="345">
        <v>43</v>
      </c>
      <c r="E7" s="345" t="s">
        <v>40</v>
      </c>
      <c r="F7" s="345">
        <v>42</v>
      </c>
      <c r="H7" s="345">
        <v>74</v>
      </c>
      <c r="I7" s="345" t="s">
        <v>39</v>
      </c>
      <c r="J7" s="345">
        <v>37</v>
      </c>
      <c r="K7" s="345" t="s">
        <v>40</v>
      </c>
      <c r="L7" s="345">
        <v>37</v>
      </c>
      <c r="N7" s="345">
        <v>68</v>
      </c>
      <c r="O7" s="345" t="s">
        <v>39</v>
      </c>
      <c r="P7" s="345">
        <v>34</v>
      </c>
      <c r="Q7" s="345" t="s">
        <v>40</v>
      </c>
      <c r="R7" s="345">
        <v>34</v>
      </c>
    </row>
    <row r="8" spans="2:38" x14ac:dyDescent="0.45">
      <c r="B8" s="345">
        <v>43</v>
      </c>
      <c r="C8" s="345" t="s">
        <v>39</v>
      </c>
      <c r="D8" s="345">
        <v>22</v>
      </c>
      <c r="E8" s="345" t="s">
        <v>40</v>
      </c>
      <c r="F8" s="345">
        <v>21</v>
      </c>
      <c r="H8" s="345">
        <v>37</v>
      </c>
      <c r="I8" s="345" t="s">
        <v>39</v>
      </c>
      <c r="J8" s="345">
        <v>19</v>
      </c>
      <c r="K8" s="345" t="s">
        <v>40</v>
      </c>
      <c r="L8" s="345">
        <v>18</v>
      </c>
      <c r="N8" s="345">
        <v>34</v>
      </c>
      <c r="O8" s="345" t="s">
        <v>39</v>
      </c>
      <c r="P8" s="345">
        <v>17</v>
      </c>
      <c r="Q8" s="345" t="s">
        <v>40</v>
      </c>
      <c r="R8" s="345">
        <v>17</v>
      </c>
    </row>
    <row r="9" spans="2:38" x14ac:dyDescent="0.45">
      <c r="B9" s="345">
        <v>42</v>
      </c>
      <c r="C9" s="345" t="s">
        <v>39</v>
      </c>
      <c r="D9" s="345">
        <v>21</v>
      </c>
      <c r="E9" s="345" t="s">
        <v>40</v>
      </c>
      <c r="F9" s="345">
        <v>21</v>
      </c>
      <c r="H9" s="345">
        <v>19</v>
      </c>
      <c r="I9" s="345" t="s">
        <v>39</v>
      </c>
      <c r="J9" s="345">
        <v>10</v>
      </c>
      <c r="K9" s="345" t="s">
        <v>40</v>
      </c>
      <c r="L9" s="345">
        <v>9</v>
      </c>
      <c r="N9" s="345">
        <v>17</v>
      </c>
      <c r="O9" s="345" t="s">
        <v>39</v>
      </c>
      <c r="P9" s="345">
        <v>9</v>
      </c>
      <c r="Q9" s="345" t="s">
        <v>40</v>
      </c>
      <c r="R9" s="345">
        <v>8</v>
      </c>
    </row>
    <row r="10" spans="2:38" x14ac:dyDescent="0.45">
      <c r="B10" s="345">
        <v>22</v>
      </c>
      <c r="C10" s="345" t="s">
        <v>39</v>
      </c>
      <c r="D10" s="345">
        <v>11</v>
      </c>
      <c r="E10" s="345" t="s">
        <v>40</v>
      </c>
      <c r="F10" s="345">
        <v>11</v>
      </c>
      <c r="H10" s="345">
        <v>18</v>
      </c>
      <c r="I10" s="345" t="s">
        <v>39</v>
      </c>
      <c r="J10" s="345">
        <v>9</v>
      </c>
      <c r="K10" s="345" t="s">
        <v>40</v>
      </c>
      <c r="L10" s="345">
        <v>9</v>
      </c>
    </row>
    <row r="11" spans="2:38" x14ac:dyDescent="0.45">
      <c r="B11" s="345">
        <v>21</v>
      </c>
      <c r="C11" s="345" t="s">
        <v>39</v>
      </c>
      <c r="D11" s="345">
        <v>11</v>
      </c>
      <c r="E11" s="345" t="s">
        <v>40</v>
      </c>
      <c r="F11" s="345">
        <v>10</v>
      </c>
      <c r="H11" s="345">
        <v>10</v>
      </c>
      <c r="I11" s="345" t="s">
        <v>39</v>
      </c>
      <c r="J11" s="345">
        <v>5</v>
      </c>
      <c r="K11" s="345" t="s">
        <v>40</v>
      </c>
      <c r="L11" s="345">
        <v>5</v>
      </c>
    </row>
    <row r="12" spans="2:38" x14ac:dyDescent="0.45">
      <c r="B12" s="345">
        <v>11</v>
      </c>
      <c r="C12" s="345" t="s">
        <v>39</v>
      </c>
      <c r="D12" s="345">
        <v>6</v>
      </c>
      <c r="E12" s="345" t="s">
        <v>40</v>
      </c>
      <c r="F12" s="345">
        <v>5</v>
      </c>
      <c r="H12" s="345">
        <v>9</v>
      </c>
      <c r="I12" s="345" t="s">
        <v>39</v>
      </c>
      <c r="J12" s="345">
        <v>5</v>
      </c>
      <c r="K12" s="345" t="s">
        <v>40</v>
      </c>
      <c r="L12" s="345">
        <v>4</v>
      </c>
    </row>
    <row r="13" spans="2:38" x14ac:dyDescent="0.45">
      <c r="B13" s="345">
        <v>10</v>
      </c>
      <c r="C13" s="345" t="s">
        <v>39</v>
      </c>
      <c r="D13" s="345">
        <v>5</v>
      </c>
      <c r="E13" s="345" t="s">
        <v>40</v>
      </c>
      <c r="F13" s="345">
        <v>5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C932-2CDB-4BE0-8314-CB94BB2FAB6A}">
  <dimension ref="A1:AT20"/>
  <sheetViews>
    <sheetView workbookViewId="0">
      <selection activeCell="AD25" sqref="AD25"/>
    </sheetView>
  </sheetViews>
  <sheetFormatPr defaultColWidth="3.09765625" defaultRowHeight="18" x14ac:dyDescent="0.45"/>
  <cols>
    <col min="1" max="26" width="3.09765625" style="317"/>
    <col min="27" max="27" width="3.3984375" style="317" bestFit="1" customWidth="1"/>
    <col min="28" max="32" width="3.09765625" style="317"/>
    <col min="33" max="33" width="3.3984375" style="317" bestFit="1" customWidth="1"/>
    <col min="34" max="36" width="3.09765625" style="317"/>
    <col min="37" max="37" width="3.3984375" style="317" bestFit="1" customWidth="1"/>
    <col min="38" max="38" width="3.09765625" style="317"/>
    <col min="39" max="39" width="2.69921875" style="317" bestFit="1" customWidth="1"/>
    <col min="40" max="40" width="3.3984375" style="317" bestFit="1" customWidth="1"/>
    <col min="41" max="41" width="3.09765625" style="317"/>
    <col min="42" max="42" width="3.3984375" style="317" bestFit="1" customWidth="1"/>
    <col min="43" max="16384" width="3.09765625" style="317"/>
  </cols>
  <sheetData>
    <row r="1" spans="1:45" ht="18.600000000000001" thickBot="1" x14ac:dyDescent="0.5">
      <c r="A1" s="337"/>
      <c r="B1" s="410" t="s">
        <v>400</v>
      </c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341"/>
      <c r="Q1" s="410" t="s">
        <v>401</v>
      </c>
      <c r="R1" s="410"/>
      <c r="S1" s="410"/>
      <c r="T1" s="410"/>
      <c r="U1" s="410"/>
      <c r="V1" s="410"/>
      <c r="W1" s="410"/>
      <c r="X1" s="410"/>
      <c r="Y1" s="410"/>
      <c r="Z1" s="410"/>
      <c r="AA1" s="410"/>
      <c r="AB1" s="410"/>
      <c r="AC1" s="410"/>
      <c r="AD1" s="410"/>
      <c r="AE1" s="341"/>
      <c r="AF1" s="410" t="s">
        <v>402</v>
      </c>
      <c r="AG1" s="410"/>
      <c r="AH1" s="410"/>
      <c r="AI1" s="410"/>
      <c r="AJ1" s="410"/>
      <c r="AK1" s="410"/>
      <c r="AL1" s="410"/>
      <c r="AM1" s="410"/>
      <c r="AN1" s="410"/>
      <c r="AO1" s="410"/>
      <c r="AP1" s="410"/>
      <c r="AQ1" s="410"/>
      <c r="AR1" s="410"/>
      <c r="AS1" s="410"/>
    </row>
    <row r="2" spans="1:45" ht="18.600000000000001" thickTop="1" x14ac:dyDescent="0.45">
      <c r="B2" s="333" t="s">
        <v>115</v>
      </c>
      <c r="C2" s="274" t="s">
        <v>115</v>
      </c>
      <c r="D2" s="274" t="s">
        <v>115</v>
      </c>
      <c r="E2" s="334"/>
      <c r="F2" s="317" t="s">
        <v>40</v>
      </c>
      <c r="G2" s="333" t="s">
        <v>115</v>
      </c>
      <c r="H2" s="274"/>
      <c r="I2" s="274" t="s">
        <v>155</v>
      </c>
      <c r="J2" s="334" t="s">
        <v>115</v>
      </c>
      <c r="K2" s="317" t="s">
        <v>39</v>
      </c>
      <c r="L2" s="333" t="s">
        <v>115</v>
      </c>
      <c r="M2" s="274" t="s">
        <v>0</v>
      </c>
      <c r="N2" s="274" t="s">
        <v>115</v>
      </c>
      <c r="O2" s="334"/>
      <c r="P2" s="340"/>
      <c r="Q2" s="333" t="s">
        <v>115</v>
      </c>
      <c r="R2" s="274" t="s">
        <v>115</v>
      </c>
      <c r="S2" s="274" t="s">
        <v>115</v>
      </c>
      <c r="T2" s="334"/>
      <c r="U2" s="317" t="s">
        <v>40</v>
      </c>
      <c r="V2" s="333"/>
      <c r="W2" s="274" t="s">
        <v>115</v>
      </c>
      <c r="X2" s="274" t="s">
        <v>115</v>
      </c>
      <c r="Y2" s="334"/>
      <c r="Z2" s="317" t="s">
        <v>39</v>
      </c>
      <c r="AA2" s="333" t="s">
        <v>115</v>
      </c>
      <c r="AB2" s="274" t="s">
        <v>43</v>
      </c>
      <c r="AC2" s="274" t="s">
        <v>0</v>
      </c>
      <c r="AD2" s="334"/>
      <c r="AE2" s="340"/>
      <c r="AF2" s="333" t="s">
        <v>115</v>
      </c>
      <c r="AG2" s="274" t="s">
        <v>115</v>
      </c>
      <c r="AH2" s="274" t="s">
        <v>115</v>
      </c>
      <c r="AI2" s="334"/>
      <c r="AJ2" s="317" t="s">
        <v>40</v>
      </c>
      <c r="AK2" s="333" t="s">
        <v>115</v>
      </c>
      <c r="AL2" s="274" t="s">
        <v>155</v>
      </c>
      <c r="AM2" s="274"/>
      <c r="AN2" s="334"/>
      <c r="AO2" s="317" t="s">
        <v>39</v>
      </c>
      <c r="AP2" s="333" t="s">
        <v>115</v>
      </c>
      <c r="AQ2" s="274" t="s">
        <v>43</v>
      </c>
      <c r="AR2" s="274" t="s">
        <v>43</v>
      </c>
      <c r="AS2" s="334" t="s">
        <v>115</v>
      </c>
    </row>
    <row r="3" spans="1:45" x14ac:dyDescent="0.45">
      <c r="B3" s="333" t="s">
        <v>43</v>
      </c>
      <c r="C3" s="274" t="s">
        <v>43</v>
      </c>
      <c r="D3" s="274" t="s">
        <v>43</v>
      </c>
      <c r="E3" s="334"/>
      <c r="G3" s="333" t="s">
        <v>43</v>
      </c>
      <c r="H3" s="274" t="s">
        <v>43</v>
      </c>
      <c r="I3" s="274" t="s">
        <v>43</v>
      </c>
      <c r="J3" s="334" t="s">
        <v>0</v>
      </c>
      <c r="L3" s="333"/>
      <c r="M3" s="274" t="s">
        <v>43</v>
      </c>
      <c r="N3" s="274" t="s">
        <v>43</v>
      </c>
      <c r="O3" s="334" t="s">
        <v>115</v>
      </c>
      <c r="P3" s="340"/>
      <c r="Q3" s="333" t="s">
        <v>43</v>
      </c>
      <c r="R3" s="274" t="s">
        <v>43</v>
      </c>
      <c r="S3" s="274" t="s">
        <v>43</v>
      </c>
      <c r="T3" s="334"/>
      <c r="V3" s="333"/>
      <c r="W3" s="274" t="s">
        <v>43</v>
      </c>
      <c r="X3" s="274" t="s">
        <v>43</v>
      </c>
      <c r="Y3" s="334" t="s">
        <v>115</v>
      </c>
      <c r="AA3" s="333" t="s">
        <v>115</v>
      </c>
      <c r="AB3" s="274" t="s">
        <v>43</v>
      </c>
      <c r="AC3" s="274" t="s">
        <v>43</v>
      </c>
      <c r="AD3" s="334" t="s">
        <v>115</v>
      </c>
      <c r="AE3" s="340"/>
      <c r="AF3" s="333" t="s">
        <v>43</v>
      </c>
      <c r="AG3" s="274" t="s">
        <v>43</v>
      </c>
      <c r="AH3" s="274" t="s">
        <v>43</v>
      </c>
      <c r="AI3" s="334"/>
      <c r="AK3" s="333" t="s">
        <v>0</v>
      </c>
      <c r="AL3" s="274" t="s">
        <v>43</v>
      </c>
      <c r="AM3" s="274" t="s">
        <v>0</v>
      </c>
      <c r="AN3" s="334" t="s">
        <v>115</v>
      </c>
      <c r="AP3" s="333"/>
      <c r="AQ3" s="274" t="s">
        <v>0</v>
      </c>
      <c r="AR3" s="274" t="s">
        <v>0</v>
      </c>
      <c r="AS3" s="334"/>
    </row>
    <row r="4" spans="1:45" x14ac:dyDescent="0.45">
      <c r="B4" s="333" t="s">
        <v>43</v>
      </c>
      <c r="C4" s="274" t="s">
        <v>43</v>
      </c>
      <c r="D4" s="274" t="s">
        <v>43</v>
      </c>
      <c r="E4" s="334"/>
      <c r="G4" s="333" t="s">
        <v>115</v>
      </c>
      <c r="H4" s="274" t="s">
        <v>115</v>
      </c>
      <c r="I4" s="274"/>
      <c r="J4" s="334" t="s">
        <v>115</v>
      </c>
      <c r="L4" s="333" t="s">
        <v>115</v>
      </c>
      <c r="M4" s="274" t="s">
        <v>43</v>
      </c>
      <c r="N4" s="274" t="s">
        <v>43</v>
      </c>
      <c r="O4" s="334" t="s">
        <v>115</v>
      </c>
      <c r="P4" s="340"/>
      <c r="Q4" s="333" t="s">
        <v>43</v>
      </c>
      <c r="R4" s="274" t="s">
        <v>43</v>
      </c>
      <c r="S4" s="274" t="s">
        <v>43</v>
      </c>
      <c r="T4" s="334"/>
      <c r="V4" s="333"/>
      <c r="W4" s="274" t="s">
        <v>43</v>
      </c>
      <c r="X4" s="274" t="s">
        <v>43</v>
      </c>
      <c r="Y4" s="334" t="s">
        <v>115</v>
      </c>
      <c r="AA4" s="333"/>
      <c r="AB4" s="274" t="s">
        <v>43</v>
      </c>
      <c r="AC4" s="274" t="s">
        <v>43</v>
      </c>
      <c r="AD4" s="334" t="s">
        <v>115</v>
      </c>
      <c r="AE4" s="340"/>
      <c r="AF4" s="333" t="s">
        <v>43</v>
      </c>
      <c r="AG4" s="274" t="s">
        <v>43</v>
      </c>
      <c r="AH4" s="274" t="s">
        <v>43</v>
      </c>
      <c r="AI4" s="334"/>
      <c r="AK4" s="333" t="s">
        <v>43</v>
      </c>
      <c r="AL4" s="274" t="s">
        <v>0</v>
      </c>
      <c r="AM4" s="274" t="s">
        <v>43</v>
      </c>
      <c r="AN4" s="334" t="s">
        <v>155</v>
      </c>
      <c r="AP4" s="333"/>
      <c r="AQ4" s="274" t="s">
        <v>43</v>
      </c>
      <c r="AR4" s="274" t="s">
        <v>43</v>
      </c>
      <c r="AS4" s="334" t="s">
        <v>115</v>
      </c>
    </row>
    <row r="5" spans="1:45" ht="18.600000000000001" thickBot="1" x14ac:dyDescent="0.5">
      <c r="B5" s="335" t="s">
        <v>115</v>
      </c>
      <c r="C5" s="289" t="s">
        <v>115</v>
      </c>
      <c r="D5" s="289" t="s">
        <v>115</v>
      </c>
      <c r="E5" s="336"/>
      <c r="G5" s="335"/>
      <c r="H5" s="289"/>
      <c r="I5" s="289"/>
      <c r="J5" s="336"/>
      <c r="L5" s="333" t="s">
        <v>155</v>
      </c>
      <c r="M5" s="274" t="s">
        <v>43</v>
      </c>
      <c r="N5" s="274" t="s">
        <v>43</v>
      </c>
      <c r="O5" s="334"/>
      <c r="P5" s="340"/>
      <c r="Q5" s="335" t="s">
        <v>115</v>
      </c>
      <c r="R5" s="289" t="s">
        <v>115</v>
      </c>
      <c r="S5" s="289" t="s">
        <v>115</v>
      </c>
      <c r="T5" s="336"/>
      <c r="V5" s="335"/>
      <c r="W5" s="289" t="s">
        <v>115</v>
      </c>
      <c r="X5" s="289" t="s">
        <v>115</v>
      </c>
      <c r="Y5" s="336"/>
      <c r="AA5" s="333" t="s">
        <v>155</v>
      </c>
      <c r="AB5" s="274" t="s">
        <v>43</v>
      </c>
      <c r="AC5" s="274"/>
      <c r="AD5" s="334"/>
      <c r="AE5" s="340"/>
      <c r="AF5" s="335" t="s">
        <v>115</v>
      </c>
      <c r="AG5" s="289" t="s">
        <v>115</v>
      </c>
      <c r="AH5" s="289" t="s">
        <v>115</v>
      </c>
      <c r="AI5" s="336"/>
      <c r="AK5" s="335" t="s">
        <v>155</v>
      </c>
      <c r="AL5" s="289" t="s">
        <v>115</v>
      </c>
      <c r="AM5" s="289"/>
      <c r="AN5" s="336"/>
      <c r="AP5" s="333" t="s">
        <v>155</v>
      </c>
      <c r="AQ5" s="274" t="s">
        <v>43</v>
      </c>
      <c r="AR5" s="274"/>
      <c r="AS5" s="334"/>
    </row>
    <row r="6" spans="1:45" x14ac:dyDescent="0.45">
      <c r="L6" s="333" t="s">
        <v>115</v>
      </c>
      <c r="M6" s="274"/>
      <c r="N6" s="274" t="s">
        <v>43</v>
      </c>
      <c r="O6" s="334" t="s">
        <v>155</v>
      </c>
      <c r="P6" s="340"/>
      <c r="AA6" s="333"/>
      <c r="AB6" s="274" t="s">
        <v>0</v>
      </c>
      <c r="AC6" s="274" t="s">
        <v>115</v>
      </c>
      <c r="AD6" s="334"/>
      <c r="AE6" s="340"/>
      <c r="AP6" s="333"/>
      <c r="AQ6" s="274" t="s">
        <v>0</v>
      </c>
      <c r="AR6" s="274" t="s">
        <v>115</v>
      </c>
      <c r="AS6" s="334"/>
    </row>
    <row r="7" spans="1:45" x14ac:dyDescent="0.45">
      <c r="L7" s="333"/>
      <c r="M7" s="274"/>
      <c r="N7" s="274" t="s">
        <v>155</v>
      </c>
      <c r="O7" s="334" t="s">
        <v>115</v>
      </c>
      <c r="P7" s="340"/>
      <c r="AA7" s="333" t="s">
        <v>115</v>
      </c>
      <c r="AB7" s="274" t="s">
        <v>0</v>
      </c>
      <c r="AC7" s="274"/>
      <c r="AD7" s="334"/>
      <c r="AE7" s="340"/>
      <c r="AP7" s="333"/>
      <c r="AQ7" s="274" t="s">
        <v>115</v>
      </c>
      <c r="AR7" s="274"/>
      <c r="AS7" s="334"/>
    </row>
    <row r="8" spans="1:45" x14ac:dyDescent="0.45">
      <c r="L8" s="333"/>
      <c r="M8" s="274"/>
      <c r="N8" s="274"/>
      <c r="O8" s="334"/>
      <c r="P8" s="340"/>
      <c r="AA8" s="333"/>
      <c r="AB8" s="274" t="s">
        <v>115</v>
      </c>
      <c r="AC8" s="274"/>
      <c r="AD8" s="334"/>
      <c r="AE8" s="340"/>
      <c r="AP8" s="333"/>
      <c r="AQ8" s="274"/>
      <c r="AR8" s="274"/>
      <c r="AS8" s="334"/>
    </row>
    <row r="9" spans="1:45" ht="18.600000000000001" thickBot="1" x14ac:dyDescent="0.5">
      <c r="L9" s="335"/>
      <c r="M9" s="289"/>
      <c r="N9" s="289"/>
      <c r="O9" s="336"/>
      <c r="P9" s="340"/>
      <c r="AA9" s="335"/>
      <c r="AB9" s="289"/>
      <c r="AC9" s="289"/>
      <c r="AD9" s="336"/>
      <c r="AE9" s="340"/>
      <c r="AP9" s="335"/>
      <c r="AQ9" s="289"/>
      <c r="AR9" s="289"/>
      <c r="AS9" s="336"/>
    </row>
    <row r="10" spans="1:45" ht="18.600000000000001" thickBot="1" x14ac:dyDescent="0.5">
      <c r="P10" s="340"/>
      <c r="AE10" s="340"/>
    </row>
    <row r="11" spans="1:45" x14ac:dyDescent="0.45">
      <c r="B11" s="331">
        <f>IF(B2="H",1,IF(B2="C",6,IF(B2="N",7,IF(B2="O",8))))</f>
        <v>1</v>
      </c>
      <c r="C11" s="288">
        <f t="shared" ref="C11:D11" si="0">IF(C2="H",1,IF(C2="C",6,IF(C2="N",7,IF(C2="O",8))))</f>
        <v>1</v>
      </c>
      <c r="D11" s="288">
        <f t="shared" si="0"/>
        <v>1</v>
      </c>
      <c r="E11" s="332"/>
      <c r="F11" s="317" t="s">
        <v>40</v>
      </c>
      <c r="G11" s="331">
        <f t="shared" ref="G11" si="1">IF(G2="H",1,IF(G2="C",6,IF(G2="N",7,IF(G2="O",8,""))))</f>
        <v>1</v>
      </c>
      <c r="H11" s="288" t="str">
        <f>IF(H2="H",1,IF(H2="C",6,IF(H2="N",7,IF(H2="O",8,""))))</f>
        <v/>
      </c>
      <c r="I11" s="288">
        <f t="shared" ref="I11:J11" si="2">IF(I2="H",1,IF(I2="C",6,IF(I2="N",7,IF(I2="O",8,""))))</f>
        <v>8</v>
      </c>
      <c r="J11" s="332">
        <f t="shared" si="2"/>
        <v>1</v>
      </c>
      <c r="K11" s="317" t="s">
        <v>39</v>
      </c>
      <c r="L11" s="331">
        <f t="shared" ref="L11:O16" si="3">IF(L2="H",1,IF(L2="C",6,IF(L2="N",7,IF(L2="O",8,""))))</f>
        <v>1</v>
      </c>
      <c r="M11" s="288">
        <f t="shared" si="3"/>
        <v>7</v>
      </c>
      <c r="N11" s="288">
        <f t="shared" si="3"/>
        <v>1</v>
      </c>
      <c r="O11" s="332" t="str">
        <f t="shared" si="3"/>
        <v/>
      </c>
      <c r="P11" s="340"/>
      <c r="Q11" s="331">
        <f>IF(Q2="H",1,IF(Q2="C",6,IF(Q2="N",7,IF(Q2="O",8))))</f>
        <v>1</v>
      </c>
      <c r="R11" s="288">
        <f t="shared" ref="R11:S11" si="4">IF(R2="H",1,IF(R2="C",6,IF(R2="N",7,IF(R2="O",8))))</f>
        <v>1</v>
      </c>
      <c r="S11" s="288">
        <f t="shared" si="4"/>
        <v>1</v>
      </c>
      <c r="T11" s="332"/>
      <c r="U11" s="317" t="s">
        <v>40</v>
      </c>
      <c r="V11" s="331" t="str">
        <f t="shared" ref="V11" si="5">IF(V2="H",1,IF(V2="C",6,IF(V2="N",7,IF(V2="O",8,""))))</f>
        <v/>
      </c>
      <c r="W11" s="288">
        <f>IF(W2="H",1,IF(W2="C",6,IF(W2="N",7,IF(W2="O",8,""))))</f>
        <v>1</v>
      </c>
      <c r="X11" s="288">
        <f t="shared" ref="X11:Y11" si="6">IF(X2="H",1,IF(X2="C",6,IF(X2="N",7,IF(X2="O",8,""))))</f>
        <v>1</v>
      </c>
      <c r="Y11" s="332" t="str">
        <f t="shared" si="6"/>
        <v/>
      </c>
      <c r="Z11" s="317" t="s">
        <v>39</v>
      </c>
      <c r="AA11" s="331">
        <f t="shared" ref="AA11:AD17" si="7">IF(AA2="H",1,IF(AA2="C",6,IF(AA2="N",7,IF(AA2="O",8,""))))</f>
        <v>1</v>
      </c>
      <c r="AB11" s="288">
        <f t="shared" si="7"/>
        <v>6</v>
      </c>
      <c r="AC11" s="288">
        <f t="shared" si="7"/>
        <v>7</v>
      </c>
      <c r="AD11" s="332" t="str">
        <f t="shared" si="7"/>
        <v/>
      </c>
      <c r="AE11" s="340"/>
      <c r="AF11" s="331">
        <f>IF(AF2="H",1,IF(AF2="C",6,IF(AF2="N",7,IF(AF2="O",8))))</f>
        <v>1</v>
      </c>
      <c r="AG11" s="288">
        <f t="shared" ref="AG11:AH11" si="8">IF(AG2="H",1,IF(AG2="C",6,IF(AG2="N",7,IF(AG2="O",8))))</f>
        <v>1</v>
      </c>
      <c r="AH11" s="288">
        <f t="shared" si="8"/>
        <v>1</v>
      </c>
      <c r="AI11" s="332"/>
      <c r="AJ11" s="317" t="s">
        <v>40</v>
      </c>
      <c r="AK11" s="331">
        <f t="shared" ref="AK11" si="9">IF(AK2="H",1,IF(AK2="C",6,IF(AK2="N",7,IF(AK2="O",8,""))))</f>
        <v>1</v>
      </c>
      <c r="AL11" s="288">
        <f>IF(AL2="H",1,IF(AL2="C",6,IF(AL2="N",7,IF(AL2="O",8,""))))</f>
        <v>8</v>
      </c>
      <c r="AM11" s="288" t="str">
        <f t="shared" ref="AM11:AN11" si="10">IF(AM2="H",1,IF(AM2="C",6,IF(AM2="N",7,IF(AM2="O",8,""))))</f>
        <v/>
      </c>
      <c r="AN11" s="332" t="str">
        <f t="shared" si="10"/>
        <v/>
      </c>
      <c r="AO11" s="317" t="s">
        <v>39</v>
      </c>
      <c r="AP11" s="331">
        <f t="shared" ref="AP11:AS16" si="11">IF(AP2="H",1,IF(AP2="C",6,IF(AP2="N",7,IF(AP2="O",8,""))))</f>
        <v>1</v>
      </c>
      <c r="AQ11" s="288">
        <f t="shared" si="11"/>
        <v>6</v>
      </c>
      <c r="AR11" s="288">
        <f t="shared" si="11"/>
        <v>6</v>
      </c>
      <c r="AS11" s="332">
        <f t="shared" si="11"/>
        <v>1</v>
      </c>
    </row>
    <row r="12" spans="1:45" x14ac:dyDescent="0.45">
      <c r="B12" s="333">
        <f t="shared" ref="B12:D12" si="12">IF(B3="H",1,IF(B3="C",6,IF(B3="N",7,IF(B3="O",8))))</f>
        <v>6</v>
      </c>
      <c r="C12" s="274">
        <f t="shared" si="12"/>
        <v>6</v>
      </c>
      <c r="D12" s="274">
        <f t="shared" si="12"/>
        <v>6</v>
      </c>
      <c r="E12" s="334"/>
      <c r="G12" s="333">
        <f t="shared" ref="G12:J12" si="13">IF(G3="H",1,IF(G3="C",6,IF(G3="N",7,IF(G3="O",8,""))))</f>
        <v>6</v>
      </c>
      <c r="H12" s="274">
        <f t="shared" si="13"/>
        <v>6</v>
      </c>
      <c r="I12" s="274">
        <f t="shared" si="13"/>
        <v>6</v>
      </c>
      <c r="J12" s="334">
        <f t="shared" si="13"/>
        <v>7</v>
      </c>
      <c r="L12" s="333" t="str">
        <f t="shared" si="3"/>
        <v/>
      </c>
      <c r="M12" s="274">
        <f t="shared" si="3"/>
        <v>6</v>
      </c>
      <c r="N12" s="274">
        <f t="shared" si="3"/>
        <v>6</v>
      </c>
      <c r="O12" s="334">
        <f t="shared" si="3"/>
        <v>1</v>
      </c>
      <c r="P12" s="340"/>
      <c r="Q12" s="333">
        <f t="shared" ref="Q12:S12" si="14">IF(Q3="H",1,IF(Q3="C",6,IF(Q3="N",7,IF(Q3="O",8))))</f>
        <v>6</v>
      </c>
      <c r="R12" s="274">
        <f t="shared" si="14"/>
        <v>6</v>
      </c>
      <c r="S12" s="274">
        <f t="shared" si="14"/>
        <v>6</v>
      </c>
      <c r="T12" s="334"/>
      <c r="V12" s="333" t="str">
        <f t="shared" ref="V12:Y12" si="15">IF(V3="H",1,IF(V3="C",6,IF(V3="N",7,IF(V3="O",8,""))))</f>
        <v/>
      </c>
      <c r="W12" s="274">
        <f t="shared" si="15"/>
        <v>6</v>
      </c>
      <c r="X12" s="274">
        <f t="shared" si="15"/>
        <v>6</v>
      </c>
      <c r="Y12" s="334">
        <f t="shared" si="15"/>
        <v>1</v>
      </c>
      <c r="AA12" s="333">
        <f t="shared" si="7"/>
        <v>1</v>
      </c>
      <c r="AB12" s="274">
        <f t="shared" si="7"/>
        <v>6</v>
      </c>
      <c r="AC12" s="274">
        <f t="shared" si="7"/>
        <v>6</v>
      </c>
      <c r="AD12" s="334">
        <f t="shared" si="7"/>
        <v>1</v>
      </c>
      <c r="AE12" s="340"/>
      <c r="AF12" s="333">
        <f t="shared" ref="AF12:AH12" si="16">IF(AF3="H",1,IF(AF3="C",6,IF(AF3="N",7,IF(AF3="O",8))))</f>
        <v>6</v>
      </c>
      <c r="AG12" s="274">
        <f t="shared" si="16"/>
        <v>6</v>
      </c>
      <c r="AH12" s="274">
        <f t="shared" si="16"/>
        <v>6</v>
      </c>
      <c r="AI12" s="334"/>
      <c r="AK12" s="333">
        <f t="shared" ref="AK12:AN12" si="17">IF(AK3="H",1,IF(AK3="C",6,IF(AK3="N",7,IF(AK3="O",8,""))))</f>
        <v>7</v>
      </c>
      <c r="AL12" s="274">
        <f t="shared" si="17"/>
        <v>6</v>
      </c>
      <c r="AM12" s="274">
        <f t="shared" si="17"/>
        <v>7</v>
      </c>
      <c r="AN12" s="334">
        <f t="shared" si="17"/>
        <v>1</v>
      </c>
      <c r="AP12" s="333" t="str">
        <f t="shared" si="11"/>
        <v/>
      </c>
      <c r="AQ12" s="274">
        <f t="shared" si="11"/>
        <v>7</v>
      </c>
      <c r="AR12" s="274">
        <f t="shared" si="11"/>
        <v>7</v>
      </c>
      <c r="AS12" s="334" t="str">
        <f t="shared" si="11"/>
        <v/>
      </c>
    </row>
    <row r="13" spans="1:45" x14ac:dyDescent="0.45">
      <c r="B13" s="333">
        <f t="shared" ref="B13:D13" si="18">IF(B4="H",1,IF(B4="C",6,IF(B4="N",7,IF(B4="O",8))))</f>
        <v>6</v>
      </c>
      <c r="C13" s="274">
        <f t="shared" si="18"/>
        <v>6</v>
      </c>
      <c r="D13" s="274">
        <f t="shared" si="18"/>
        <v>6</v>
      </c>
      <c r="E13" s="334"/>
      <c r="G13" s="333">
        <f t="shared" ref="G13:J13" si="19">IF(G4="H",1,IF(G4="C",6,IF(G4="N",7,IF(G4="O",8,""))))</f>
        <v>1</v>
      </c>
      <c r="H13" s="274">
        <f t="shared" si="19"/>
        <v>1</v>
      </c>
      <c r="I13" s="274" t="str">
        <f t="shared" si="19"/>
        <v/>
      </c>
      <c r="J13" s="334">
        <f t="shared" si="19"/>
        <v>1</v>
      </c>
      <c r="L13" s="333">
        <f t="shared" si="3"/>
        <v>1</v>
      </c>
      <c r="M13" s="274">
        <f t="shared" si="3"/>
        <v>6</v>
      </c>
      <c r="N13" s="274">
        <f t="shared" si="3"/>
        <v>6</v>
      </c>
      <c r="O13" s="334">
        <f t="shared" si="3"/>
        <v>1</v>
      </c>
      <c r="P13" s="340"/>
      <c r="Q13" s="333">
        <f t="shared" ref="Q13:S13" si="20">IF(Q4="H",1,IF(Q4="C",6,IF(Q4="N",7,IF(Q4="O",8))))</f>
        <v>6</v>
      </c>
      <c r="R13" s="274">
        <f t="shared" si="20"/>
        <v>6</v>
      </c>
      <c r="S13" s="274">
        <f t="shared" si="20"/>
        <v>6</v>
      </c>
      <c r="T13" s="334"/>
      <c r="V13" s="333" t="str">
        <f t="shared" ref="V13:Y13" si="21">IF(V4="H",1,IF(V4="C",6,IF(V4="N",7,IF(V4="O",8,""))))</f>
        <v/>
      </c>
      <c r="W13" s="274">
        <f t="shared" si="21"/>
        <v>6</v>
      </c>
      <c r="X13" s="274">
        <f t="shared" si="21"/>
        <v>6</v>
      </c>
      <c r="Y13" s="334">
        <f t="shared" si="21"/>
        <v>1</v>
      </c>
      <c r="AA13" s="333" t="str">
        <f t="shared" si="7"/>
        <v/>
      </c>
      <c r="AB13" s="274">
        <f t="shared" si="7"/>
        <v>6</v>
      </c>
      <c r="AC13" s="274">
        <f t="shared" si="7"/>
        <v>6</v>
      </c>
      <c r="AD13" s="334">
        <f t="shared" si="7"/>
        <v>1</v>
      </c>
      <c r="AE13" s="340"/>
      <c r="AF13" s="333">
        <f t="shared" ref="AF13:AH13" si="22">IF(AF4="H",1,IF(AF4="C",6,IF(AF4="N",7,IF(AF4="O",8))))</f>
        <v>6</v>
      </c>
      <c r="AG13" s="274">
        <f t="shared" si="22"/>
        <v>6</v>
      </c>
      <c r="AH13" s="274">
        <f t="shared" si="22"/>
        <v>6</v>
      </c>
      <c r="AI13" s="334"/>
      <c r="AK13" s="333">
        <f t="shared" ref="AK13:AN13" si="23">IF(AK4="H",1,IF(AK4="C",6,IF(AK4="N",7,IF(AK4="O",8,""))))</f>
        <v>6</v>
      </c>
      <c r="AL13" s="274">
        <f t="shared" si="23"/>
        <v>7</v>
      </c>
      <c r="AM13" s="274">
        <f t="shared" si="23"/>
        <v>6</v>
      </c>
      <c r="AN13" s="334">
        <f t="shared" si="23"/>
        <v>8</v>
      </c>
      <c r="AP13" s="333" t="str">
        <f t="shared" si="11"/>
        <v/>
      </c>
      <c r="AQ13" s="274">
        <f t="shared" si="11"/>
        <v>6</v>
      </c>
      <c r="AR13" s="274">
        <f t="shared" si="11"/>
        <v>6</v>
      </c>
      <c r="AS13" s="334">
        <f t="shared" si="11"/>
        <v>1</v>
      </c>
    </row>
    <row r="14" spans="1:45" ht="18.600000000000001" thickBot="1" x14ac:dyDescent="0.5">
      <c r="B14" s="335">
        <f t="shared" ref="B14:D14" si="24">IF(B5="H",1,IF(B5="C",6,IF(B5="N",7,IF(B5="O",8))))</f>
        <v>1</v>
      </c>
      <c r="C14" s="289">
        <f t="shared" si="24"/>
        <v>1</v>
      </c>
      <c r="D14" s="289">
        <f t="shared" si="24"/>
        <v>1</v>
      </c>
      <c r="E14" s="336"/>
      <c r="G14" s="335" t="str">
        <f t="shared" ref="G14:J14" si="25">IF(G5="H",1,IF(G5="C",6,IF(G5="N",7,IF(G5="O",8,""))))</f>
        <v/>
      </c>
      <c r="H14" s="289" t="str">
        <f t="shared" si="25"/>
        <v/>
      </c>
      <c r="I14" s="289" t="str">
        <f t="shared" si="25"/>
        <v/>
      </c>
      <c r="J14" s="336" t="str">
        <f t="shared" si="25"/>
        <v/>
      </c>
      <c r="L14" s="333">
        <f t="shared" si="3"/>
        <v>8</v>
      </c>
      <c r="M14" s="274">
        <f t="shared" si="3"/>
        <v>6</v>
      </c>
      <c r="N14" s="274">
        <f t="shared" si="3"/>
        <v>6</v>
      </c>
      <c r="O14" s="334" t="str">
        <f t="shared" si="3"/>
        <v/>
      </c>
      <c r="P14" s="340"/>
      <c r="Q14" s="335">
        <f t="shared" ref="Q14:S14" si="26">IF(Q5="H",1,IF(Q5="C",6,IF(Q5="N",7,IF(Q5="O",8))))</f>
        <v>1</v>
      </c>
      <c r="R14" s="289">
        <f t="shared" si="26"/>
        <v>1</v>
      </c>
      <c r="S14" s="289">
        <f t="shared" si="26"/>
        <v>1</v>
      </c>
      <c r="T14" s="336"/>
      <c r="V14" s="335" t="str">
        <f t="shared" ref="V14:Y14" si="27">IF(V5="H",1,IF(V5="C",6,IF(V5="N",7,IF(V5="O",8,""))))</f>
        <v/>
      </c>
      <c r="W14" s="289">
        <f t="shared" si="27"/>
        <v>1</v>
      </c>
      <c r="X14" s="289">
        <f t="shared" si="27"/>
        <v>1</v>
      </c>
      <c r="Y14" s="336" t="str">
        <f t="shared" si="27"/>
        <v/>
      </c>
      <c r="AA14" s="333">
        <f t="shared" si="7"/>
        <v>8</v>
      </c>
      <c r="AB14" s="274">
        <f t="shared" si="7"/>
        <v>6</v>
      </c>
      <c r="AC14" s="274" t="str">
        <f t="shared" si="7"/>
        <v/>
      </c>
      <c r="AD14" s="334" t="str">
        <f t="shared" si="7"/>
        <v/>
      </c>
      <c r="AE14" s="340"/>
      <c r="AF14" s="335">
        <f t="shared" ref="AF14:AH14" si="28">IF(AF5="H",1,IF(AF5="C",6,IF(AF5="N",7,IF(AF5="O",8))))</f>
        <v>1</v>
      </c>
      <c r="AG14" s="289">
        <f t="shared" si="28"/>
        <v>1</v>
      </c>
      <c r="AH14" s="289">
        <f t="shared" si="28"/>
        <v>1</v>
      </c>
      <c r="AI14" s="336"/>
      <c r="AK14" s="335">
        <f t="shared" ref="AK14:AN14" si="29">IF(AK5="H",1,IF(AK5="C",6,IF(AK5="N",7,IF(AK5="O",8,""))))</f>
        <v>8</v>
      </c>
      <c r="AL14" s="289">
        <f t="shared" si="29"/>
        <v>1</v>
      </c>
      <c r="AM14" s="289" t="str">
        <f t="shared" si="29"/>
        <v/>
      </c>
      <c r="AN14" s="336" t="str">
        <f t="shared" si="29"/>
        <v/>
      </c>
      <c r="AP14" s="333">
        <f t="shared" si="11"/>
        <v>8</v>
      </c>
      <c r="AQ14" s="274">
        <f t="shared" si="11"/>
        <v>6</v>
      </c>
      <c r="AR14" s="274" t="str">
        <f t="shared" si="11"/>
        <v/>
      </c>
      <c r="AS14" s="334" t="str">
        <f t="shared" si="11"/>
        <v/>
      </c>
    </row>
    <row r="15" spans="1:45" x14ac:dyDescent="0.45">
      <c r="B15" s="408">
        <f>SUM(B11:E14)</f>
        <v>42</v>
      </c>
      <c r="C15" s="408"/>
      <c r="D15" s="408"/>
      <c r="E15" s="408"/>
      <c r="F15" s="342"/>
      <c r="G15" s="408">
        <f>SUM(G11:J14)</f>
        <v>38</v>
      </c>
      <c r="H15" s="408"/>
      <c r="I15" s="408"/>
      <c r="J15" s="408"/>
      <c r="L15" s="333">
        <f t="shared" si="3"/>
        <v>1</v>
      </c>
      <c r="M15" s="274" t="str">
        <f t="shared" si="3"/>
        <v/>
      </c>
      <c r="N15" s="274">
        <f t="shared" si="3"/>
        <v>6</v>
      </c>
      <c r="O15" s="334">
        <f t="shared" si="3"/>
        <v>8</v>
      </c>
      <c r="P15" s="340"/>
      <c r="Q15" s="408">
        <f>SUM(Q11:T14)</f>
        <v>42</v>
      </c>
      <c r="R15" s="408"/>
      <c r="S15" s="408"/>
      <c r="T15" s="408"/>
      <c r="V15" s="408">
        <f>SUM(V11:Y14)</f>
        <v>30</v>
      </c>
      <c r="W15" s="408"/>
      <c r="X15" s="408"/>
      <c r="Y15" s="408"/>
      <c r="AA15" s="333" t="str">
        <f t="shared" si="7"/>
        <v/>
      </c>
      <c r="AB15" s="274">
        <f t="shared" si="7"/>
        <v>7</v>
      </c>
      <c r="AC15" s="274">
        <f t="shared" si="7"/>
        <v>1</v>
      </c>
      <c r="AD15" s="334" t="str">
        <f t="shared" si="7"/>
        <v/>
      </c>
      <c r="AE15" s="340"/>
      <c r="AF15" s="408">
        <f>SUM(AF11:AI14)</f>
        <v>42</v>
      </c>
      <c r="AG15" s="408"/>
      <c r="AH15" s="408"/>
      <c r="AI15" s="408"/>
      <c r="AK15" s="408">
        <f>SUM(AK11:AN14)</f>
        <v>66</v>
      </c>
      <c r="AL15" s="408"/>
      <c r="AM15" s="408"/>
      <c r="AN15" s="408"/>
      <c r="AP15" s="333" t="str">
        <f t="shared" si="11"/>
        <v/>
      </c>
      <c r="AQ15" s="274">
        <f t="shared" si="11"/>
        <v>7</v>
      </c>
      <c r="AR15" s="274">
        <f t="shared" si="11"/>
        <v>1</v>
      </c>
      <c r="AS15" s="334" t="str">
        <f t="shared" si="11"/>
        <v/>
      </c>
    </row>
    <row r="16" spans="1:45" x14ac:dyDescent="0.45">
      <c r="L16" s="333" t="str">
        <f t="shared" si="3"/>
        <v/>
      </c>
      <c r="M16" s="274" t="str">
        <f t="shared" si="3"/>
        <v/>
      </c>
      <c r="N16" s="274">
        <f t="shared" si="3"/>
        <v>8</v>
      </c>
      <c r="O16" s="334">
        <f t="shared" si="3"/>
        <v>1</v>
      </c>
      <c r="P16" s="340"/>
      <c r="AA16" s="333">
        <f t="shared" si="7"/>
        <v>1</v>
      </c>
      <c r="AB16" s="274">
        <f t="shared" si="7"/>
        <v>7</v>
      </c>
      <c r="AC16" s="274" t="str">
        <f t="shared" si="7"/>
        <v/>
      </c>
      <c r="AD16" s="334" t="str">
        <f t="shared" si="7"/>
        <v/>
      </c>
      <c r="AE16" s="340"/>
      <c r="AP16" s="333" t="str">
        <f t="shared" si="11"/>
        <v/>
      </c>
      <c r="AQ16" s="274">
        <f t="shared" si="11"/>
        <v>1</v>
      </c>
      <c r="AR16" s="274" t="str">
        <f t="shared" si="11"/>
        <v/>
      </c>
      <c r="AS16" s="334" t="str">
        <f t="shared" si="11"/>
        <v/>
      </c>
    </row>
    <row r="17" spans="2:46" x14ac:dyDescent="0.45">
      <c r="L17" s="333"/>
      <c r="M17" s="274"/>
      <c r="N17" s="274"/>
      <c r="O17" s="334"/>
      <c r="P17" s="340"/>
      <c r="AA17" s="333"/>
      <c r="AB17" s="274">
        <f t="shared" si="7"/>
        <v>1</v>
      </c>
      <c r="AC17" s="274"/>
      <c r="AD17" s="334"/>
      <c r="AE17" s="340"/>
      <c r="AP17" s="333"/>
      <c r="AQ17" s="274"/>
      <c r="AR17" s="274"/>
      <c r="AS17" s="334"/>
    </row>
    <row r="18" spans="2:46" ht="18.600000000000001" thickBot="1" x14ac:dyDescent="0.5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8"/>
      <c r="M18" s="337"/>
      <c r="N18" s="337"/>
      <c r="O18" s="339"/>
      <c r="P18" s="341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8"/>
      <c r="AB18" s="337"/>
      <c r="AC18" s="337"/>
      <c r="AD18" s="339"/>
      <c r="AE18" s="341"/>
      <c r="AF18" s="337"/>
      <c r="AG18" s="337"/>
      <c r="AH18" s="337"/>
      <c r="AI18" s="337"/>
      <c r="AJ18" s="337"/>
      <c r="AK18" s="337"/>
      <c r="AL18" s="337"/>
      <c r="AM18" s="337"/>
      <c r="AN18" s="337"/>
      <c r="AO18" s="337"/>
      <c r="AP18" s="338"/>
      <c r="AQ18" s="337"/>
      <c r="AR18" s="337"/>
      <c r="AS18" s="339"/>
    </row>
    <row r="19" spans="2:46" ht="18.600000000000001" thickTop="1" x14ac:dyDescent="0.45">
      <c r="B19" s="411">
        <f>SUM(B11:J14)</f>
        <v>80</v>
      </c>
      <c r="C19" s="411"/>
      <c r="D19" s="411"/>
      <c r="E19" s="411"/>
      <c r="F19" s="411"/>
      <c r="G19" s="411"/>
      <c r="H19" s="411"/>
      <c r="I19" s="411"/>
      <c r="J19" s="411"/>
      <c r="L19" s="411">
        <f>SUM(L11:O16)</f>
        <v>80</v>
      </c>
      <c r="M19" s="411"/>
      <c r="N19" s="411"/>
      <c r="O19" s="411"/>
      <c r="P19" s="340"/>
      <c r="Q19" s="411">
        <f>SUM(Q11:Y14)</f>
        <v>72</v>
      </c>
      <c r="R19" s="411"/>
      <c r="S19" s="411"/>
      <c r="T19" s="411"/>
      <c r="U19" s="411"/>
      <c r="V19" s="411"/>
      <c r="W19" s="411"/>
      <c r="X19" s="411"/>
      <c r="Y19" s="411"/>
      <c r="AA19" s="411">
        <f>SUM(AA11:AD17)</f>
        <v>72</v>
      </c>
      <c r="AB19" s="411"/>
      <c r="AC19" s="411"/>
      <c r="AD19" s="411"/>
      <c r="AE19" s="340"/>
      <c r="AF19" s="411">
        <f>SUM(AF11:AN14)</f>
        <v>108</v>
      </c>
      <c r="AG19" s="411"/>
      <c r="AH19" s="411"/>
      <c r="AI19" s="411"/>
      <c r="AJ19" s="411"/>
      <c r="AK19" s="411"/>
      <c r="AL19" s="411"/>
      <c r="AM19" s="411"/>
      <c r="AN19" s="411"/>
      <c r="AP19" s="411">
        <f>SUM(AP11:AS16)</f>
        <v>64</v>
      </c>
      <c r="AQ19" s="411"/>
      <c r="AR19" s="411"/>
      <c r="AS19" s="411"/>
    </row>
    <row r="20" spans="2:46" x14ac:dyDescent="0.45">
      <c r="AA20" s="343"/>
      <c r="AB20" s="343"/>
      <c r="AC20" s="343"/>
      <c r="AD20" s="343"/>
      <c r="AF20" s="317">
        <f>AF15</f>
        <v>42</v>
      </c>
      <c r="AG20" s="317" t="s">
        <v>91</v>
      </c>
      <c r="AH20" s="317">
        <v>3</v>
      </c>
      <c r="AI20" s="317" t="s">
        <v>40</v>
      </c>
      <c r="AJ20" s="317">
        <f>AK15</f>
        <v>66</v>
      </c>
      <c r="AK20" s="317" t="s">
        <v>39</v>
      </c>
      <c r="AL20" s="409">
        <f>AF20*3+AJ20</f>
        <v>192</v>
      </c>
      <c r="AM20" s="409"/>
      <c r="AO20" s="317">
        <f>AP19</f>
        <v>64</v>
      </c>
      <c r="AP20" s="317" t="s">
        <v>91</v>
      </c>
      <c r="AQ20" s="317">
        <v>3</v>
      </c>
      <c r="AR20" s="317" t="s">
        <v>39</v>
      </c>
      <c r="AS20" s="409">
        <f>AO20*3</f>
        <v>192</v>
      </c>
      <c r="AT20" s="409"/>
    </row>
  </sheetData>
  <mergeCells count="17">
    <mergeCell ref="Q15:T15"/>
    <mergeCell ref="V15:Y15"/>
    <mergeCell ref="B15:E15"/>
    <mergeCell ref="G15:J15"/>
    <mergeCell ref="AS20:AT20"/>
    <mergeCell ref="B1:O1"/>
    <mergeCell ref="Q1:AD1"/>
    <mergeCell ref="AF1:AS1"/>
    <mergeCell ref="Q19:Y19"/>
    <mergeCell ref="AA19:AD19"/>
    <mergeCell ref="L19:O19"/>
    <mergeCell ref="B19:J19"/>
    <mergeCell ref="AF19:AN19"/>
    <mergeCell ref="AP19:AS19"/>
    <mergeCell ref="AF15:AI15"/>
    <mergeCell ref="AK15:AN15"/>
    <mergeCell ref="AL20:AM20"/>
  </mergeCells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C39E6-1587-4112-8F50-964EB8547214}">
  <dimension ref="A1:AM42"/>
  <sheetViews>
    <sheetView showGridLines="0" zoomScale="85" zoomScaleNormal="85" workbookViewId="0">
      <pane ySplit="4" topLeftCell="A5" activePane="bottomLeft" state="frozen"/>
      <selection pane="bottomLeft" activeCell="AF15" sqref="AF15"/>
    </sheetView>
  </sheetViews>
  <sheetFormatPr defaultColWidth="5.69921875" defaultRowHeight="22.2" x14ac:dyDescent="0.45"/>
  <cols>
    <col min="1" max="1" width="13.8984375" style="1" bestFit="1" customWidth="1"/>
    <col min="2" max="16384" width="5.69921875" style="1"/>
  </cols>
  <sheetData>
    <row r="1" spans="1:39" x14ac:dyDescent="0.45">
      <c r="A1" s="412" t="s">
        <v>41</v>
      </c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</row>
    <row r="2" spans="1:39" ht="22.8" thickBot="1" x14ac:dyDescent="0.5">
      <c r="A2" s="413"/>
      <c r="B2" s="6">
        <v>7</v>
      </c>
      <c r="C2" s="7">
        <v>15</v>
      </c>
      <c r="D2" s="7">
        <v>16</v>
      </c>
      <c r="E2" s="7">
        <v>17</v>
      </c>
      <c r="F2" s="7">
        <v>23</v>
      </c>
      <c r="G2" s="7">
        <v>24</v>
      </c>
      <c r="H2" s="7">
        <v>25</v>
      </c>
      <c r="I2" s="7">
        <v>26</v>
      </c>
      <c r="J2" s="7">
        <v>27</v>
      </c>
      <c r="K2" s="7">
        <v>33</v>
      </c>
      <c r="L2" s="7">
        <v>34</v>
      </c>
      <c r="M2" s="7">
        <v>35</v>
      </c>
      <c r="N2" s="7">
        <v>41</v>
      </c>
      <c r="O2" s="7">
        <v>42</v>
      </c>
      <c r="P2" s="7">
        <v>43</v>
      </c>
      <c r="Q2" s="7">
        <v>44</v>
      </c>
      <c r="R2" s="7">
        <v>45</v>
      </c>
      <c r="S2" s="7">
        <v>51</v>
      </c>
      <c r="T2" s="7">
        <v>52</v>
      </c>
      <c r="U2" s="7">
        <v>53</v>
      </c>
      <c r="V2" s="7">
        <v>73</v>
      </c>
      <c r="W2" s="7">
        <v>74</v>
      </c>
      <c r="X2" s="7">
        <v>75</v>
      </c>
      <c r="Y2" s="7">
        <v>76</v>
      </c>
      <c r="Z2" s="7">
        <v>77</v>
      </c>
      <c r="AA2" s="7">
        <v>83</v>
      </c>
      <c r="AB2" s="7">
        <v>84</v>
      </c>
      <c r="AC2" s="7">
        <v>85</v>
      </c>
      <c r="AD2" s="7">
        <v>91</v>
      </c>
      <c r="AE2" s="7">
        <v>92</v>
      </c>
      <c r="AF2" s="7">
        <v>93</v>
      </c>
      <c r="AG2" s="7">
        <v>94</v>
      </c>
      <c r="AH2" s="7">
        <v>95</v>
      </c>
      <c r="AI2" s="7">
        <v>105</v>
      </c>
      <c r="AJ2" s="7">
        <v>106</v>
      </c>
      <c r="AK2" s="7">
        <v>107</v>
      </c>
      <c r="AL2" s="7">
        <v>108</v>
      </c>
      <c r="AM2" s="8">
        <v>109</v>
      </c>
    </row>
    <row r="3" spans="1:39" x14ac:dyDescent="0.45">
      <c r="A3" s="414" t="s">
        <v>42</v>
      </c>
      <c r="B3" s="9" t="s">
        <v>43</v>
      </c>
      <c r="C3" s="10" t="s">
        <v>44</v>
      </c>
      <c r="D3" s="10" t="s">
        <v>45</v>
      </c>
      <c r="E3" s="10" t="s">
        <v>46</v>
      </c>
      <c r="F3" s="10" t="s">
        <v>47</v>
      </c>
      <c r="G3" s="10" t="s">
        <v>48</v>
      </c>
      <c r="H3" s="10" t="s">
        <v>49</v>
      </c>
      <c r="I3" s="10" t="s">
        <v>16</v>
      </c>
      <c r="J3" s="10" t="s">
        <v>50</v>
      </c>
      <c r="K3" s="10" t="s">
        <v>51</v>
      </c>
      <c r="L3" s="10" t="s">
        <v>56</v>
      </c>
      <c r="M3" s="10" t="s">
        <v>57</v>
      </c>
      <c r="N3" s="10" t="s">
        <v>58</v>
      </c>
      <c r="O3" s="10" t="s">
        <v>52</v>
      </c>
      <c r="P3" s="10" t="s">
        <v>53</v>
      </c>
      <c r="Q3" s="10" t="s">
        <v>54</v>
      </c>
      <c r="R3" s="10" t="s">
        <v>55</v>
      </c>
      <c r="S3" s="10" t="s">
        <v>59</v>
      </c>
      <c r="T3" s="10" t="s">
        <v>60</v>
      </c>
      <c r="U3" s="10" t="s">
        <v>61</v>
      </c>
      <c r="V3" s="10" t="s">
        <v>62</v>
      </c>
      <c r="W3" s="11" t="s">
        <v>63</v>
      </c>
    </row>
    <row r="4" spans="1:39" ht="22.8" thickBot="1" x14ac:dyDescent="0.5">
      <c r="A4" s="415"/>
      <c r="B4" s="12">
        <v>6</v>
      </c>
      <c r="C4" s="13">
        <v>14</v>
      </c>
      <c r="D4" s="13">
        <v>22</v>
      </c>
      <c r="E4" s="13">
        <v>28</v>
      </c>
      <c r="F4" s="13">
        <v>29</v>
      </c>
      <c r="G4" s="13">
        <v>32</v>
      </c>
      <c r="H4" s="13">
        <v>40</v>
      </c>
      <c r="I4" s="13">
        <v>46</v>
      </c>
      <c r="J4" s="13">
        <v>47</v>
      </c>
      <c r="K4" s="13">
        <v>50</v>
      </c>
      <c r="L4" s="13">
        <v>58</v>
      </c>
      <c r="M4" s="13">
        <v>59</v>
      </c>
      <c r="N4" s="13">
        <v>65</v>
      </c>
      <c r="O4" s="13">
        <v>72</v>
      </c>
      <c r="P4" s="13">
        <v>78</v>
      </c>
      <c r="Q4" s="13">
        <v>79</v>
      </c>
      <c r="R4" s="13">
        <v>82</v>
      </c>
      <c r="S4" s="13">
        <v>90</v>
      </c>
      <c r="T4" s="13">
        <v>96</v>
      </c>
      <c r="U4" s="13">
        <v>97</v>
      </c>
      <c r="V4" s="13">
        <v>98</v>
      </c>
      <c r="W4" s="14">
        <v>104</v>
      </c>
    </row>
    <row r="6" spans="1:39" x14ac:dyDescent="0.45">
      <c r="X6" s="1">
        <v>92</v>
      </c>
      <c r="Y6" s="1" t="s">
        <v>39</v>
      </c>
      <c r="Z6" s="1">
        <v>2</v>
      </c>
      <c r="AA6" s="1" t="s">
        <v>91</v>
      </c>
      <c r="AB6" s="1">
        <v>2</v>
      </c>
      <c r="AC6" s="1" t="s">
        <v>91</v>
      </c>
      <c r="AD6" s="1">
        <v>23</v>
      </c>
    </row>
    <row r="7" spans="1:39" x14ac:dyDescent="0.45">
      <c r="B7" s="1" t="s">
        <v>387</v>
      </c>
      <c r="I7" s="2" t="s">
        <v>388</v>
      </c>
      <c r="X7" s="1">
        <v>94</v>
      </c>
      <c r="Y7" s="1" t="s">
        <v>39</v>
      </c>
      <c r="Z7" s="1">
        <v>2</v>
      </c>
      <c r="AA7" s="1" t="s">
        <v>91</v>
      </c>
      <c r="AB7" s="1">
        <v>47</v>
      </c>
    </row>
    <row r="8" spans="1:39" x14ac:dyDescent="0.45">
      <c r="B8" s="32" t="s">
        <v>28</v>
      </c>
      <c r="C8" s="31">
        <v>85</v>
      </c>
      <c r="D8" s="1" t="s">
        <v>40</v>
      </c>
      <c r="E8" s="32" t="s">
        <v>20</v>
      </c>
      <c r="F8" s="31">
        <v>53</v>
      </c>
      <c r="I8" s="32" t="s">
        <v>11</v>
      </c>
      <c r="J8" s="31">
        <v>35</v>
      </c>
      <c r="K8" s="1" t="s">
        <v>40</v>
      </c>
      <c r="L8" s="32" t="s">
        <v>11</v>
      </c>
      <c r="M8" s="31">
        <v>35</v>
      </c>
      <c r="O8" s="32" t="s">
        <v>29</v>
      </c>
      <c r="P8" s="31">
        <v>92</v>
      </c>
      <c r="Q8" s="1" t="s">
        <v>39</v>
      </c>
      <c r="R8" s="32" t="s">
        <v>29</v>
      </c>
      <c r="S8" s="31">
        <v>46</v>
      </c>
      <c r="T8" s="1" t="s">
        <v>40</v>
      </c>
      <c r="U8" s="32" t="s">
        <v>29</v>
      </c>
      <c r="V8" s="31">
        <v>46</v>
      </c>
      <c r="X8" s="32" t="s">
        <v>29</v>
      </c>
      <c r="Y8" s="31">
        <v>92</v>
      </c>
      <c r="Z8" s="1" t="s">
        <v>91</v>
      </c>
      <c r="AA8" s="1">
        <v>47</v>
      </c>
      <c r="AB8" s="1" t="s">
        <v>39</v>
      </c>
      <c r="AC8" s="32" t="s">
        <v>32</v>
      </c>
      <c r="AD8" s="31">
        <v>94</v>
      </c>
      <c r="AE8" s="1" t="s">
        <v>91</v>
      </c>
      <c r="AF8" s="1">
        <v>46</v>
      </c>
    </row>
    <row r="9" spans="1:39" x14ac:dyDescent="0.45">
      <c r="B9" s="32" t="s">
        <v>28</v>
      </c>
      <c r="C9" s="31">
        <v>85</v>
      </c>
      <c r="D9" s="1" t="s">
        <v>40</v>
      </c>
      <c r="E9" s="32" t="s">
        <v>11</v>
      </c>
      <c r="F9" s="31">
        <v>35</v>
      </c>
      <c r="I9" s="32" t="s">
        <v>20</v>
      </c>
      <c r="J9" s="31">
        <v>53</v>
      </c>
      <c r="K9" s="1" t="s">
        <v>40</v>
      </c>
      <c r="L9" s="32" t="s">
        <v>20</v>
      </c>
      <c r="M9" s="31">
        <v>53</v>
      </c>
      <c r="O9" s="32" t="s">
        <v>32</v>
      </c>
      <c r="P9" s="31">
        <v>94</v>
      </c>
      <c r="Q9" s="1" t="s">
        <v>39</v>
      </c>
      <c r="R9" s="32" t="s">
        <v>50</v>
      </c>
      <c r="S9" s="31">
        <v>47</v>
      </c>
      <c r="T9" s="1" t="s">
        <v>40</v>
      </c>
      <c r="U9" s="32" t="s">
        <v>50</v>
      </c>
      <c r="V9" s="31">
        <v>47</v>
      </c>
    </row>
    <row r="10" spans="1:39" x14ac:dyDescent="0.45">
      <c r="B10" s="32" t="s">
        <v>11</v>
      </c>
      <c r="C10" s="31">
        <v>35</v>
      </c>
      <c r="D10" s="1" t="s">
        <v>40</v>
      </c>
      <c r="E10" s="32" t="s">
        <v>20</v>
      </c>
      <c r="F10" s="31">
        <v>53</v>
      </c>
      <c r="I10" s="32" t="s">
        <v>28</v>
      </c>
      <c r="J10" s="31">
        <v>85</v>
      </c>
      <c r="K10" s="1" t="s">
        <v>40</v>
      </c>
      <c r="L10" s="32" t="s">
        <v>28</v>
      </c>
      <c r="M10" s="31">
        <v>85</v>
      </c>
    </row>
    <row r="11" spans="1:39" x14ac:dyDescent="0.45">
      <c r="X11" s="32" t="s">
        <v>29</v>
      </c>
      <c r="Y11" s="31">
        <v>92</v>
      </c>
      <c r="Z11" s="1" t="s">
        <v>39</v>
      </c>
      <c r="AA11" s="1">
        <v>46</v>
      </c>
      <c r="AB11" s="1" t="s">
        <v>40</v>
      </c>
      <c r="AC11" s="1">
        <v>23</v>
      </c>
      <c r="AD11" s="1" t="s">
        <v>40</v>
      </c>
      <c r="AE11" s="1">
        <v>12</v>
      </c>
      <c r="AF11" s="1" t="s">
        <v>40</v>
      </c>
      <c r="AG11" s="1">
        <v>6</v>
      </c>
      <c r="AH11" s="1" t="s">
        <v>40</v>
      </c>
      <c r="AI11" s="1">
        <v>3</v>
      </c>
      <c r="AJ11" s="1" t="s">
        <v>40</v>
      </c>
      <c r="AK11" s="1">
        <v>2</v>
      </c>
    </row>
    <row r="12" spans="1:39" x14ac:dyDescent="0.45">
      <c r="X12" s="32" t="s">
        <v>50</v>
      </c>
      <c r="Y12" s="31">
        <v>46</v>
      </c>
      <c r="Z12" s="1" t="s">
        <v>39</v>
      </c>
      <c r="AA12" s="1">
        <v>23</v>
      </c>
      <c r="AB12" s="1" t="s">
        <v>40</v>
      </c>
      <c r="AC12" s="1">
        <v>12</v>
      </c>
      <c r="AD12" s="1" t="s">
        <v>40</v>
      </c>
      <c r="AE12" s="1">
        <v>6</v>
      </c>
      <c r="AF12" s="1" t="s">
        <v>40</v>
      </c>
      <c r="AG12" s="1">
        <v>3</v>
      </c>
      <c r="AH12" s="1" t="s">
        <v>40</v>
      </c>
      <c r="AI12" s="1">
        <v>2</v>
      </c>
    </row>
    <row r="13" spans="1:39" x14ac:dyDescent="0.45">
      <c r="B13" s="32" t="s">
        <v>28</v>
      </c>
      <c r="C13" s="31">
        <v>85</v>
      </c>
      <c r="D13" s="1" t="s">
        <v>39</v>
      </c>
      <c r="E13" s="32" t="s">
        <v>14</v>
      </c>
      <c r="F13" s="31">
        <v>43</v>
      </c>
      <c r="G13" s="1" t="s">
        <v>40</v>
      </c>
      <c r="H13" s="32" t="s">
        <v>13</v>
      </c>
      <c r="I13" s="31">
        <v>42</v>
      </c>
      <c r="K13" s="32" t="s">
        <v>14</v>
      </c>
      <c r="L13" s="31">
        <v>43</v>
      </c>
      <c r="M13" s="1" t="s">
        <v>40</v>
      </c>
      <c r="N13" s="32" t="s">
        <v>8</v>
      </c>
      <c r="O13" s="31">
        <v>26</v>
      </c>
      <c r="P13" s="1" t="s">
        <v>39</v>
      </c>
      <c r="Q13" s="264" t="s">
        <v>187</v>
      </c>
      <c r="R13" s="265">
        <v>69</v>
      </c>
    </row>
    <row r="14" spans="1:39" x14ac:dyDescent="0.45">
      <c r="B14" s="32" t="s">
        <v>20</v>
      </c>
      <c r="C14" s="31">
        <v>53</v>
      </c>
      <c r="D14" s="1" t="s">
        <v>39</v>
      </c>
      <c r="E14" s="32" t="s">
        <v>8</v>
      </c>
      <c r="F14" s="31">
        <v>27</v>
      </c>
      <c r="G14" s="1" t="s">
        <v>40</v>
      </c>
      <c r="H14" s="32" t="s">
        <v>7</v>
      </c>
      <c r="I14" s="31">
        <v>26</v>
      </c>
      <c r="K14" s="32" t="s">
        <v>13</v>
      </c>
      <c r="L14" s="31">
        <v>42</v>
      </c>
      <c r="M14" s="1" t="s">
        <v>40</v>
      </c>
      <c r="N14" s="32" t="s">
        <v>7</v>
      </c>
      <c r="O14" s="31">
        <v>27</v>
      </c>
      <c r="P14" s="1" t="s">
        <v>39</v>
      </c>
      <c r="Q14" s="264" t="s">
        <v>187</v>
      </c>
      <c r="R14" s="265">
        <v>69</v>
      </c>
    </row>
    <row r="16" spans="1:39" x14ac:dyDescent="0.45">
      <c r="B16" s="32" t="s">
        <v>28</v>
      </c>
      <c r="C16" s="31">
        <v>85</v>
      </c>
      <c r="D16" s="1" t="s">
        <v>39</v>
      </c>
      <c r="E16" s="32" t="s">
        <v>14</v>
      </c>
      <c r="F16" s="31">
        <v>43</v>
      </c>
      <c r="G16" s="1" t="s">
        <v>40</v>
      </c>
      <c r="H16" s="32" t="s">
        <v>13</v>
      </c>
      <c r="I16" s="31">
        <v>42</v>
      </c>
      <c r="K16" s="32" t="s">
        <v>14</v>
      </c>
      <c r="L16" s="31">
        <v>43</v>
      </c>
      <c r="M16" s="1" t="s">
        <v>40</v>
      </c>
      <c r="N16" s="32" t="s">
        <v>159</v>
      </c>
      <c r="O16" s="31">
        <v>17</v>
      </c>
      <c r="P16" s="1" t="s">
        <v>39</v>
      </c>
      <c r="Q16" s="264" t="s">
        <v>179</v>
      </c>
      <c r="R16" s="265">
        <v>60</v>
      </c>
    </row>
    <row r="17" spans="2:31" x14ac:dyDescent="0.45">
      <c r="B17" s="32" t="s">
        <v>11</v>
      </c>
      <c r="C17" s="31">
        <v>35</v>
      </c>
      <c r="D17" s="1" t="s">
        <v>39</v>
      </c>
      <c r="E17" s="32" t="s">
        <v>159</v>
      </c>
      <c r="F17" s="31">
        <v>18</v>
      </c>
      <c r="G17" s="1" t="s">
        <v>40</v>
      </c>
      <c r="H17" s="32" t="s">
        <v>3</v>
      </c>
      <c r="I17" s="31">
        <v>17</v>
      </c>
      <c r="K17" s="32" t="s">
        <v>13</v>
      </c>
      <c r="L17" s="31">
        <v>42</v>
      </c>
      <c r="M17" s="1" t="s">
        <v>40</v>
      </c>
      <c r="N17" s="32" t="s">
        <v>3</v>
      </c>
      <c r="O17" s="31">
        <v>18</v>
      </c>
      <c r="P17" s="1" t="s">
        <v>39</v>
      </c>
      <c r="Q17" s="264" t="s">
        <v>179</v>
      </c>
      <c r="R17" s="265">
        <v>60</v>
      </c>
    </row>
    <row r="19" spans="2:31" x14ac:dyDescent="0.45">
      <c r="B19" s="32" t="s">
        <v>11</v>
      </c>
      <c r="C19" s="31">
        <v>35</v>
      </c>
      <c r="D19" s="1" t="s">
        <v>39</v>
      </c>
      <c r="E19" s="32" t="s">
        <v>159</v>
      </c>
      <c r="F19" s="31">
        <v>18</v>
      </c>
      <c r="G19" s="1" t="s">
        <v>40</v>
      </c>
      <c r="H19" s="32" t="s">
        <v>3</v>
      </c>
      <c r="I19" s="31">
        <v>17</v>
      </c>
      <c r="K19" s="32" t="s">
        <v>159</v>
      </c>
      <c r="L19" s="31">
        <v>18</v>
      </c>
      <c r="M19" s="1" t="s">
        <v>40</v>
      </c>
      <c r="N19" s="32" t="s">
        <v>8</v>
      </c>
      <c r="O19" s="31">
        <v>26</v>
      </c>
      <c r="P19" s="1" t="s">
        <v>39</v>
      </c>
      <c r="Q19" s="266" t="s">
        <v>15</v>
      </c>
      <c r="R19" s="267">
        <v>44</v>
      </c>
    </row>
    <row r="20" spans="2:31" x14ac:dyDescent="0.45">
      <c r="B20" s="32" t="s">
        <v>20</v>
      </c>
      <c r="C20" s="31">
        <v>53</v>
      </c>
      <c r="D20" s="1" t="s">
        <v>39</v>
      </c>
      <c r="E20" s="32" t="s">
        <v>8</v>
      </c>
      <c r="F20" s="31">
        <v>27</v>
      </c>
      <c r="G20" s="1" t="s">
        <v>40</v>
      </c>
      <c r="H20" s="32" t="s">
        <v>7</v>
      </c>
      <c r="I20" s="31">
        <v>26</v>
      </c>
      <c r="K20" s="32" t="s">
        <v>3</v>
      </c>
      <c r="L20" s="31">
        <v>17</v>
      </c>
      <c r="M20" s="1" t="s">
        <v>40</v>
      </c>
      <c r="N20" s="32" t="s">
        <v>7</v>
      </c>
      <c r="O20" s="31">
        <v>27</v>
      </c>
      <c r="P20" s="1" t="s">
        <v>39</v>
      </c>
      <c r="Q20" s="266" t="s">
        <v>15</v>
      </c>
      <c r="R20" s="267">
        <v>44</v>
      </c>
    </row>
    <row r="23" spans="2:31" x14ac:dyDescent="0.45">
      <c r="B23" s="32" t="s">
        <v>11</v>
      </c>
      <c r="C23" s="31">
        <v>35</v>
      </c>
      <c r="D23" s="1" t="s">
        <v>40</v>
      </c>
      <c r="E23" s="32" t="s">
        <v>20</v>
      </c>
      <c r="F23" s="31">
        <v>53</v>
      </c>
      <c r="G23" s="1" t="s">
        <v>39</v>
      </c>
      <c r="H23" s="32" t="s">
        <v>136</v>
      </c>
      <c r="I23" s="31">
        <v>88</v>
      </c>
    </row>
    <row r="24" spans="2:31" x14ac:dyDescent="0.45">
      <c r="B24" s="32" t="s">
        <v>11</v>
      </c>
      <c r="C24" s="31">
        <v>35</v>
      </c>
      <c r="D24" s="1" t="s">
        <v>40</v>
      </c>
      <c r="E24" s="32" t="s">
        <v>28</v>
      </c>
      <c r="F24" s="31">
        <v>85</v>
      </c>
      <c r="G24" s="1" t="s">
        <v>39</v>
      </c>
      <c r="H24" s="32"/>
      <c r="I24" s="31">
        <v>121</v>
      </c>
      <c r="V24" s="1" t="s">
        <v>39</v>
      </c>
      <c r="W24" s="32" t="s">
        <v>156</v>
      </c>
      <c r="X24" s="31">
        <v>9</v>
      </c>
      <c r="Y24" s="1" t="s">
        <v>40</v>
      </c>
      <c r="Z24" s="32" t="s">
        <v>156</v>
      </c>
      <c r="AA24" s="31">
        <v>9</v>
      </c>
      <c r="AB24" s="1" t="s">
        <v>40</v>
      </c>
      <c r="AC24" s="1">
        <v>9</v>
      </c>
      <c r="AD24" s="1" t="s">
        <v>40</v>
      </c>
      <c r="AE24" s="1">
        <v>8</v>
      </c>
    </row>
    <row r="25" spans="2:31" x14ac:dyDescent="0.45">
      <c r="B25" s="32" t="s">
        <v>20</v>
      </c>
      <c r="C25" s="31">
        <v>53</v>
      </c>
      <c r="D25" s="1" t="s">
        <v>40</v>
      </c>
      <c r="E25" s="32" t="s">
        <v>28</v>
      </c>
      <c r="F25" s="31">
        <v>85</v>
      </c>
      <c r="G25" s="1" t="s">
        <v>39</v>
      </c>
      <c r="H25" s="32"/>
      <c r="I25" s="31">
        <v>138</v>
      </c>
      <c r="V25" s="1" t="s">
        <v>39</v>
      </c>
      <c r="W25" s="32" t="s">
        <v>44</v>
      </c>
      <c r="X25" s="31">
        <v>14</v>
      </c>
      <c r="Y25" s="1" t="s">
        <v>40</v>
      </c>
      <c r="Z25" s="32" t="s">
        <v>93</v>
      </c>
      <c r="AA25" s="31">
        <v>13</v>
      </c>
      <c r="AB25" s="1" t="s">
        <v>40</v>
      </c>
      <c r="AC25" s="1">
        <v>13</v>
      </c>
      <c r="AD25" s="1" t="s">
        <v>40</v>
      </c>
      <c r="AE25" s="1">
        <v>13</v>
      </c>
    </row>
    <row r="33" spans="1:2" ht="32.4" x14ac:dyDescent="0.45">
      <c r="A33" s="16"/>
      <c r="B33" s="16"/>
    </row>
    <row r="34" spans="1:2" ht="32.4" x14ac:dyDescent="0.45">
      <c r="A34" s="16"/>
      <c r="B34" s="16"/>
    </row>
    <row r="35" spans="1:2" ht="32.4" x14ac:dyDescent="0.45">
      <c r="A35" s="16"/>
      <c r="B35" s="16"/>
    </row>
    <row r="36" spans="1:2" ht="33" thickBot="1" x14ac:dyDescent="0.5">
      <c r="A36" s="16"/>
      <c r="B36" s="16"/>
    </row>
    <row r="37" spans="1:2" ht="24" customHeight="1" x14ac:dyDescent="0.45">
      <c r="A37" s="260" t="s">
        <v>44</v>
      </c>
      <c r="B37" s="261"/>
    </row>
    <row r="38" spans="1:2" ht="24.75" customHeight="1" thickBot="1" x14ac:dyDescent="0.5">
      <c r="A38" s="262"/>
      <c r="B38" s="263"/>
    </row>
    <row r="39" spans="1:2" ht="32.4" x14ac:dyDescent="0.45">
      <c r="A39" s="16"/>
      <c r="B39" s="16"/>
    </row>
    <row r="40" spans="1:2" ht="32.4" x14ac:dyDescent="0.45">
      <c r="A40" s="16"/>
      <c r="B40" s="16"/>
    </row>
    <row r="41" spans="1:2" ht="32.4" x14ac:dyDescent="0.45">
      <c r="A41" s="16"/>
      <c r="B41" s="16"/>
    </row>
    <row r="42" spans="1:2" ht="32.4" x14ac:dyDescent="0.45">
      <c r="A42" s="16"/>
      <c r="B42" s="16"/>
    </row>
  </sheetData>
  <mergeCells count="2">
    <mergeCell ref="A1:A2"/>
    <mergeCell ref="A3:A4"/>
  </mergeCells>
  <phoneticPr fontId="2"/>
  <conditionalFormatting sqref="J44:XFD1048576 A44:A1048576 B44:I1048574 A1:XFD5">
    <cfRule type="expression" dxfId="305" priority="389">
      <formula>COUNTIFS($B$3:$W$4,A1:AM200)</formula>
    </cfRule>
    <cfRule type="expression" dxfId="304" priority="390">
      <formula>COUNTIFS($B$1:$AM$2,A1:AM100)</formula>
    </cfRule>
  </conditionalFormatting>
  <conditionalFormatting sqref="A11:N11 T13:XFD14 A8:A10 H8:H10 K8:K10 N8:N10 A6:XFD6 A7:H7 K7:V7 J14 S14 A12:A43 J15:XFD15 AF17:XFD20 AF23:XFD26 B21:XFD22 B27:XFD43 S16:XFD16 P10:Z10 AB9:AE10 P9:W9 Z9 AG7:XFD10 X7:AD7 P11:W11 T12:W12 Z11:Z12 AB11:XFD12">
    <cfRule type="expression" dxfId="303" priority="393">
      <formula>COUNTIFS($B$3:$W$4,AV6:CH205)</formula>
    </cfRule>
    <cfRule type="expression" dxfId="302" priority="394">
      <formula>COUNTIFS($B$1:$AM$2,AV6:CH105)</formula>
    </cfRule>
  </conditionalFormatting>
  <conditionalFormatting sqref="D13:D14">
    <cfRule type="expression" dxfId="301" priority="405">
      <formula>COUNTIFS($B$3:$W$4,AY10:CK209)</formula>
    </cfRule>
    <cfRule type="expression" dxfId="300" priority="406">
      <formula>COUNTIFS($B$1:$AM$2,AY10:CK109)</formula>
    </cfRule>
  </conditionalFormatting>
  <conditionalFormatting sqref="D8:D10">
    <cfRule type="expression" dxfId="299" priority="387">
      <formula>COUNTIFS($B$3:$W$4,AY8:CK207)</formula>
    </cfRule>
    <cfRule type="expression" dxfId="298" priority="388">
      <formula>COUNTIFS($B$1:$AM$2,AY8:CK107)</formula>
    </cfRule>
  </conditionalFormatting>
  <conditionalFormatting sqref="G13:G14">
    <cfRule type="expression" dxfId="297" priority="385">
      <formula>COUNTIFS($B$3:$W$4,BA10:CM209)</formula>
    </cfRule>
    <cfRule type="expression" dxfId="296" priority="386">
      <formula>COUNTIFS($B$1:$AM$2,BA10:CM109)</formula>
    </cfRule>
  </conditionalFormatting>
  <conditionalFormatting sqref="G13:G14">
    <cfRule type="expression" dxfId="295" priority="411">
      <formula>COUNTIFS($B$3:$W$4,BA14:CM213)</formula>
    </cfRule>
    <cfRule type="expression" dxfId="294" priority="412">
      <formula>COUNTIFS($B$1:$AM$2,BA14:CM113)</formula>
    </cfRule>
  </conditionalFormatting>
  <conditionalFormatting sqref="F14 I14 C14">
    <cfRule type="expression" dxfId="293" priority="367">
      <formula>COUNTIFS($B$3:$W$4,BJ10:CV209)</formula>
    </cfRule>
    <cfRule type="expression" dxfId="292" priority="368">
      <formula>COUNTIFS($B$1:$AM$2,BJ10:CV109)</formula>
    </cfRule>
  </conditionalFormatting>
  <conditionalFormatting sqref="F23:F25 C23:C25">
    <cfRule type="expression" dxfId="291" priority="365">
      <formula>COUNTIFS($B$3:$W$4,BJ14:CV213)</formula>
    </cfRule>
    <cfRule type="expression" dxfId="290" priority="366">
      <formula>COUNTIFS($B$1:$AM$2,BJ14:CV113)</formula>
    </cfRule>
  </conditionalFormatting>
  <conditionalFormatting sqref="I23:I25">
    <cfRule type="expression" dxfId="289" priority="363">
      <formula>COUNTIFS($B$3:$W$4,BP14:DB213)</formula>
    </cfRule>
    <cfRule type="expression" dxfId="288" priority="364">
      <formula>COUNTIFS($B$1:$AM$2,BP14:DB113)</formula>
    </cfRule>
  </conditionalFormatting>
  <conditionalFormatting sqref="F24">
    <cfRule type="expression" dxfId="287" priority="361">
      <formula>COUNTIFS($B$3:$W$4,BM15:CY214)</formula>
    </cfRule>
    <cfRule type="expression" dxfId="286" priority="362">
      <formula>COUNTIFS($B$1:$AM$2,BM15:CY114)</formula>
    </cfRule>
  </conditionalFormatting>
  <conditionalFormatting sqref="F25">
    <cfRule type="expression" dxfId="285" priority="359">
      <formula>COUNTIFS($B$3:$W$4,BM16:CY215)</formula>
    </cfRule>
    <cfRule type="expression" dxfId="284" priority="360">
      <formula>COUNTIFS($B$1:$AM$2,BM16:CY115)</formula>
    </cfRule>
  </conditionalFormatting>
  <conditionalFormatting sqref="B8:C8">
    <cfRule type="expression" dxfId="283" priority="355">
      <formula>COUNTIFS($B$3:$W$4,AW8:CI207)</formula>
    </cfRule>
    <cfRule type="expression" dxfId="282" priority="356">
      <formula>COUNTIFS($B$1:$AM$2,AW8:CI107)</formula>
    </cfRule>
  </conditionalFormatting>
  <conditionalFormatting sqref="C8">
    <cfRule type="expression" dxfId="281" priority="357">
      <formula>COUNTIFS($B$3:$W$4,BJ5:CV204)</formula>
    </cfRule>
    <cfRule type="expression" dxfId="280" priority="358">
      <formula>COUNTIFS($B$1:$AM$2,BJ5:CV104)</formula>
    </cfRule>
  </conditionalFormatting>
  <conditionalFormatting sqref="E8:F8">
    <cfRule type="expression" dxfId="279" priority="351">
      <formula>COUNTIFS($B$3:$W$4,AZ8:CL207)</formula>
    </cfRule>
    <cfRule type="expression" dxfId="278" priority="352">
      <formula>COUNTIFS($B$1:$AM$2,AZ8:CL107)</formula>
    </cfRule>
  </conditionalFormatting>
  <conditionalFormatting sqref="F8">
    <cfRule type="expression" dxfId="277" priority="353">
      <formula>COUNTIFS($B$3:$W$4,BM5:CY204)</formula>
    </cfRule>
    <cfRule type="expression" dxfId="276" priority="354">
      <formula>COUNTIFS($B$1:$AM$2,BM5:CY104)</formula>
    </cfRule>
  </conditionalFormatting>
  <conditionalFormatting sqref="B9:C9">
    <cfRule type="expression" dxfId="275" priority="347">
      <formula>COUNTIFS($B$3:$W$4,AW9:CI208)</formula>
    </cfRule>
    <cfRule type="expression" dxfId="274" priority="348">
      <formula>COUNTIFS($B$1:$AM$2,AW9:CI108)</formula>
    </cfRule>
  </conditionalFormatting>
  <conditionalFormatting sqref="C9">
    <cfRule type="expression" dxfId="273" priority="349">
      <formula>COUNTIFS($B$3:$W$4,BJ6:CV205)</formula>
    </cfRule>
    <cfRule type="expression" dxfId="272" priority="350">
      <formula>COUNTIFS($B$1:$AM$2,BJ6:CV105)</formula>
    </cfRule>
  </conditionalFormatting>
  <conditionalFormatting sqref="E9:F9">
    <cfRule type="expression" dxfId="271" priority="343">
      <formula>COUNTIFS($B$3:$W$4,AZ9:CL208)</formula>
    </cfRule>
    <cfRule type="expression" dxfId="270" priority="344">
      <formula>COUNTIFS($B$1:$AM$2,AZ9:CL108)</formula>
    </cfRule>
  </conditionalFormatting>
  <conditionalFormatting sqref="F9">
    <cfRule type="expression" dxfId="269" priority="345">
      <formula>COUNTIFS($B$3:$W$4,BM6:CY205)</formula>
    </cfRule>
    <cfRule type="expression" dxfId="268" priority="346">
      <formula>COUNTIFS($B$1:$AM$2,BM6:CY105)</formula>
    </cfRule>
  </conditionalFormatting>
  <conditionalFormatting sqref="B10:C10">
    <cfRule type="expression" dxfId="267" priority="339">
      <formula>COUNTIFS($B$3:$W$4,AW10:CI209)</formula>
    </cfRule>
    <cfRule type="expression" dxfId="266" priority="340">
      <formula>COUNTIFS($B$1:$AM$2,AW10:CI109)</formula>
    </cfRule>
  </conditionalFormatting>
  <conditionalFormatting sqref="C10">
    <cfRule type="expression" dxfId="265" priority="341">
      <formula>COUNTIFS($B$3:$W$4,BJ7:CV206)</formula>
    </cfRule>
    <cfRule type="expression" dxfId="264" priority="342">
      <formula>COUNTIFS($B$1:$AM$2,BJ7:CV106)</formula>
    </cfRule>
  </conditionalFormatting>
  <conditionalFormatting sqref="E10:F10">
    <cfRule type="expression" dxfId="263" priority="335">
      <formula>COUNTIFS($B$3:$W$4,AZ10:CL209)</formula>
    </cfRule>
    <cfRule type="expression" dxfId="262" priority="336">
      <formula>COUNTIFS($B$1:$AM$2,AZ10:CL109)</formula>
    </cfRule>
  </conditionalFormatting>
  <conditionalFormatting sqref="F10">
    <cfRule type="expression" dxfId="261" priority="337">
      <formula>COUNTIFS($B$3:$W$4,BM7:CY206)</formula>
    </cfRule>
    <cfRule type="expression" dxfId="260" priority="338">
      <formula>COUNTIFS($B$1:$AM$2,BM7:CY106)</formula>
    </cfRule>
  </conditionalFormatting>
  <conditionalFormatting sqref="I8:J8">
    <cfRule type="expression" dxfId="259" priority="331">
      <formula>COUNTIFS($B$3:$W$4,BD8:CP207)</formula>
    </cfRule>
    <cfRule type="expression" dxfId="258" priority="332">
      <formula>COUNTIFS($B$1:$AM$2,BD8:CP107)</formula>
    </cfRule>
  </conditionalFormatting>
  <conditionalFormatting sqref="J8">
    <cfRule type="expression" dxfId="257" priority="333">
      <formula>COUNTIFS($B$3:$W$4,BQ5:DC204)</formula>
    </cfRule>
    <cfRule type="expression" dxfId="256" priority="334">
      <formula>COUNTIFS($B$1:$AM$2,BQ5:DC104)</formula>
    </cfRule>
  </conditionalFormatting>
  <conditionalFormatting sqref="L8:M8">
    <cfRule type="expression" dxfId="255" priority="327">
      <formula>COUNTIFS($B$3:$W$4,BG8:CS207)</formula>
    </cfRule>
    <cfRule type="expression" dxfId="254" priority="328">
      <formula>COUNTIFS($B$1:$AM$2,BG8:CS107)</formula>
    </cfRule>
  </conditionalFormatting>
  <conditionalFormatting sqref="M8">
    <cfRule type="expression" dxfId="253" priority="329">
      <formula>COUNTIFS($B$3:$W$4,BT5:DF204)</formula>
    </cfRule>
    <cfRule type="expression" dxfId="252" priority="330">
      <formula>COUNTIFS($B$1:$AM$2,BT5:DF104)</formula>
    </cfRule>
  </conditionalFormatting>
  <conditionalFormatting sqref="I9:J9">
    <cfRule type="expression" dxfId="251" priority="323">
      <formula>COUNTIFS($B$3:$W$4,BD9:CP208)</formula>
    </cfRule>
    <cfRule type="expression" dxfId="250" priority="324">
      <formula>COUNTIFS($B$1:$AM$2,BD9:CP108)</formula>
    </cfRule>
  </conditionalFormatting>
  <conditionalFormatting sqref="J9">
    <cfRule type="expression" dxfId="249" priority="325">
      <formula>COUNTIFS($B$3:$W$4,BQ6:DC205)</formula>
    </cfRule>
    <cfRule type="expression" dxfId="248" priority="326">
      <formula>COUNTIFS($B$1:$AM$2,BQ6:DC105)</formula>
    </cfRule>
  </conditionalFormatting>
  <conditionalFormatting sqref="L9:M9">
    <cfRule type="expression" dxfId="247" priority="319">
      <formula>COUNTIFS($B$3:$W$4,BG9:CS208)</formula>
    </cfRule>
    <cfRule type="expression" dxfId="246" priority="320">
      <formula>COUNTIFS($B$1:$AM$2,BG9:CS108)</formula>
    </cfRule>
  </conditionalFormatting>
  <conditionalFormatting sqref="M9">
    <cfRule type="expression" dxfId="245" priority="321">
      <formula>COUNTIFS($B$3:$W$4,BT6:DF205)</formula>
    </cfRule>
    <cfRule type="expression" dxfId="244" priority="322">
      <formula>COUNTIFS($B$1:$AM$2,BT6:DF105)</formula>
    </cfRule>
  </conditionalFormatting>
  <conditionalFormatting sqref="I10:J10">
    <cfRule type="expression" dxfId="243" priority="315">
      <formula>COUNTIFS($B$3:$W$4,BD10:CP209)</formula>
    </cfRule>
    <cfRule type="expression" dxfId="242" priority="316">
      <formula>COUNTIFS($B$1:$AM$2,BD10:CP109)</formula>
    </cfRule>
  </conditionalFormatting>
  <conditionalFormatting sqref="J10">
    <cfRule type="expression" dxfId="241" priority="317">
      <formula>COUNTIFS($B$3:$W$4,BQ7:DC206)</formula>
    </cfRule>
    <cfRule type="expression" dxfId="240" priority="318">
      <formula>COUNTIFS($B$1:$AM$2,BQ7:DC106)</formula>
    </cfRule>
  </conditionalFormatting>
  <conditionalFormatting sqref="L10:M10">
    <cfRule type="expression" dxfId="239" priority="311">
      <formula>COUNTIFS($B$3:$W$4,BG10:CS209)</formula>
    </cfRule>
    <cfRule type="expression" dxfId="238" priority="312">
      <formula>COUNTIFS($B$1:$AM$2,BG10:CS109)</formula>
    </cfRule>
  </conditionalFormatting>
  <conditionalFormatting sqref="M10">
    <cfRule type="expression" dxfId="237" priority="313">
      <formula>COUNTIFS($B$3:$W$4,BT7:DF206)</formula>
    </cfRule>
    <cfRule type="expression" dxfId="236" priority="314">
      <formula>COUNTIFS($B$1:$AM$2,BT7:DF106)</formula>
    </cfRule>
  </conditionalFormatting>
  <conditionalFormatting sqref="I7">
    <cfRule type="expression" dxfId="235" priority="441">
      <formula>COUNTIFS($B$3:$W$4,BE7:CQ206)</formula>
    </cfRule>
    <cfRule type="expression" dxfId="234" priority="442">
      <formula>COUNTIFS($B$1:$AM$2,BE7:CQ106)</formula>
    </cfRule>
  </conditionalFormatting>
  <conditionalFormatting sqref="W24:X25 Z24:AA25">
    <cfRule type="expression" dxfId="233" priority="447">
      <formula>COUNTIFS($B$3:$W$4,BF12:CR211)</formula>
    </cfRule>
    <cfRule type="expression" dxfId="232" priority="448">
      <formula>COUNTIFS($B$1:$AM$2,BF12:CR111)</formula>
    </cfRule>
  </conditionalFormatting>
  <conditionalFormatting sqref="X24:X25 AA24:AA25">
    <cfRule type="expression" dxfId="231" priority="451">
      <formula>COUNTIFS($B$3:$W$4,BS9:DE208)</formula>
    </cfRule>
    <cfRule type="expression" dxfId="230" priority="452">
      <formula>COUNTIFS($B$1:$AM$2,BS9:DE108)</formula>
    </cfRule>
  </conditionalFormatting>
  <conditionalFormatting sqref="D19">
    <cfRule type="expression" dxfId="229" priority="455">
      <formula>COUNTIFS($B$3:$W$4,AY8:CK207)</formula>
    </cfRule>
    <cfRule type="expression" dxfId="228" priority="456">
      <formula>COUNTIFS($B$1:$AM$2,AY8:CK107)</formula>
    </cfRule>
  </conditionalFormatting>
  <conditionalFormatting sqref="G19">
    <cfRule type="expression" dxfId="227" priority="459">
      <formula>COUNTIFS($B$3:$W$4,BA8:CM207)</formula>
    </cfRule>
    <cfRule type="expression" dxfId="226" priority="460">
      <formula>COUNTIFS($B$1:$AM$2,BA8:CM107)</formula>
    </cfRule>
  </conditionalFormatting>
  <conditionalFormatting sqref="V24:V25">
    <cfRule type="expression" dxfId="225" priority="475">
      <formula>COUNTIFS($B$3:$W$4,BC8:CO207)</formula>
    </cfRule>
    <cfRule type="expression" dxfId="224" priority="476">
      <formula>COUNTIFS($B$1:$AM$2,BC8:CO107)</formula>
    </cfRule>
  </conditionalFormatting>
  <conditionalFormatting sqref="V24:V25">
    <cfRule type="expression" dxfId="223" priority="479">
      <formula>COUNTIFS($B$3:$W$4,BC12:CO211)</formula>
    </cfRule>
    <cfRule type="expression" dxfId="222" priority="480">
      <formula>COUNTIFS($B$1:$AM$2,BC12:CO111)</formula>
    </cfRule>
  </conditionalFormatting>
  <conditionalFormatting sqref="Y24:Y25">
    <cfRule type="expression" dxfId="221" priority="483">
      <formula>COUNTIFS($B$3:$W$4,BE12:CQ211)</formula>
    </cfRule>
    <cfRule type="expression" dxfId="220" priority="484">
      <formula>COUNTIFS($B$1:$AM$2,BE12:CQ111)</formula>
    </cfRule>
  </conditionalFormatting>
  <conditionalFormatting sqref="AB24:AE25">
    <cfRule type="expression" dxfId="219" priority="487">
      <formula>COUNTIFS($B$3:$W$4,BG12:CS211)</formula>
    </cfRule>
    <cfRule type="expression" dxfId="218" priority="488">
      <formula>COUNTIFS($B$1:$AM$2,BG12:CS111)</formula>
    </cfRule>
  </conditionalFormatting>
  <conditionalFormatting sqref="B13:F14 H13:I14">
    <cfRule type="expression" dxfId="217" priority="493">
      <formula>COUNTIFS($B$3:$W$4,AW14:CI213)</formula>
    </cfRule>
    <cfRule type="expression" dxfId="216" priority="494">
      <formula>COUNTIFS($B$1:$AM$2,AW14:CI113)</formula>
    </cfRule>
  </conditionalFormatting>
  <conditionalFormatting sqref="F13:F14 I13:I14 C13:C14">
    <cfRule type="expression" dxfId="215" priority="497">
      <formula>COUNTIFS($B$3:$W$4,BJ11:CV210)</formula>
    </cfRule>
    <cfRule type="expression" dxfId="214" priority="498">
      <formula>COUNTIFS($B$1:$AM$2,BJ11:CV110)</formula>
    </cfRule>
  </conditionalFormatting>
  <conditionalFormatting sqref="Q13:R13">
    <cfRule type="expression" dxfId="213" priority="299">
      <formula>COUNTIFS($B$3:$W$4,BL14:CX213)</formula>
    </cfRule>
    <cfRule type="expression" dxfId="212" priority="300">
      <formula>COUNTIFS($B$1:$AM$2,BL14:CX113)</formula>
    </cfRule>
  </conditionalFormatting>
  <conditionalFormatting sqref="R13">
    <cfRule type="expression" dxfId="211" priority="301">
      <formula>COUNTIFS($B$3:$W$4,BY11:DK210)</formula>
    </cfRule>
    <cfRule type="expression" dxfId="210" priority="302">
      <formula>COUNTIFS($B$1:$AM$2,BY11:DK110)</formula>
    </cfRule>
  </conditionalFormatting>
  <conditionalFormatting sqref="Q14:R14">
    <cfRule type="expression" dxfId="209" priority="287">
      <formula>COUNTIFS($B$3:$W$4,BL15:CX214)</formula>
    </cfRule>
    <cfRule type="expression" dxfId="208" priority="288">
      <formula>COUNTIFS($B$1:$AM$2,BL15:CX114)</formula>
    </cfRule>
  </conditionalFormatting>
  <conditionalFormatting sqref="R14">
    <cfRule type="expression" dxfId="207" priority="289">
      <formula>COUNTIFS($B$3:$W$4,BY12:DK211)</formula>
    </cfRule>
    <cfRule type="expression" dxfId="206" priority="290">
      <formula>COUNTIFS($B$1:$AM$2,BY12:DK111)</formula>
    </cfRule>
  </conditionalFormatting>
  <conditionalFormatting sqref="B19:I19">
    <cfRule type="expression" dxfId="205" priority="503">
      <formula>COUNTIFS($B$3:$W$4,BI18:CU217)</formula>
    </cfRule>
    <cfRule type="expression" dxfId="204" priority="504">
      <formula>COUNTIFS($B$1:$AM$2,BI18:CU117)</formula>
    </cfRule>
  </conditionalFormatting>
  <conditionalFormatting sqref="F19 C19 I19">
    <cfRule type="expression" dxfId="203" priority="511">
      <formula>COUNTIFS($B$3:$W$4,BJ9:CV208)</formula>
    </cfRule>
    <cfRule type="expression" dxfId="202" priority="512">
      <formula>COUNTIFS($B$1:$AM$2,BJ9:CV108)</formula>
    </cfRule>
  </conditionalFormatting>
  <conditionalFormatting sqref="B14:F14 H14:I14">
    <cfRule type="expression" dxfId="201" priority="531">
      <formula>COUNTIFS($B$3:$W$4,AW13:CI212)</formula>
    </cfRule>
    <cfRule type="expression" dxfId="200" priority="532">
      <formula>COUNTIFS($B$1:$AM$2,AW13:CI112)</formula>
    </cfRule>
  </conditionalFormatting>
  <conditionalFormatting sqref="D14">
    <cfRule type="expression" dxfId="199" priority="541">
      <formula>COUNTIFS($B$3:$W$4,AY9:CK208)</formula>
    </cfRule>
    <cfRule type="expression" dxfId="198" priority="542">
      <formula>COUNTIFS($B$1:$AM$2,AY9:CK108)</formula>
    </cfRule>
  </conditionalFormatting>
  <conditionalFormatting sqref="G14">
    <cfRule type="expression" dxfId="197" priority="545">
      <formula>COUNTIFS($B$3:$W$4,BA9:CM208)</formula>
    </cfRule>
    <cfRule type="expression" dxfId="196" priority="546">
      <formula>COUNTIFS($B$1:$AM$2,BA9:CM108)</formula>
    </cfRule>
  </conditionalFormatting>
  <conditionalFormatting sqref="G14">
    <cfRule type="expression" dxfId="195" priority="549">
      <formula>COUNTIFS($B$3:$W$4,BA13:CM212)</formula>
    </cfRule>
    <cfRule type="expression" dxfId="194" priority="550">
      <formula>COUNTIFS($B$1:$AM$2,BA13:CM112)</formula>
    </cfRule>
  </conditionalFormatting>
  <conditionalFormatting sqref="B14:I14">
    <cfRule type="expression" dxfId="193" priority="553">
      <formula>COUNTIFS($B$3:$W$4,BI19:CU218)</formula>
    </cfRule>
    <cfRule type="expression" dxfId="192" priority="554">
      <formula>COUNTIFS($B$1:$AM$2,BI19:CU118)</formula>
    </cfRule>
  </conditionalFormatting>
  <conditionalFormatting sqref="B1048575:I1048576">
    <cfRule type="expression" dxfId="191" priority="561">
      <formula>COUNTIFS($B$3:$W$4,B198:AN1048575)</formula>
    </cfRule>
    <cfRule type="expression" dxfId="190" priority="562">
      <formula>COUNTIFS($B$1:$AM$2,B98:AN1048575)</formula>
    </cfRule>
  </conditionalFormatting>
  <conditionalFormatting sqref="K13:L13">
    <cfRule type="expression" dxfId="189" priority="283">
      <formula>COUNTIFS($B$3:$W$4,BF14:CR213)</formula>
    </cfRule>
    <cfRule type="expression" dxfId="188" priority="284">
      <formula>COUNTIFS($B$1:$AM$2,BF14:CR113)</formula>
    </cfRule>
  </conditionalFormatting>
  <conditionalFormatting sqref="L13">
    <cfRule type="expression" dxfId="187" priority="285">
      <formula>COUNTIFS($B$3:$W$4,BS11:DE210)</formula>
    </cfRule>
    <cfRule type="expression" dxfId="186" priority="286">
      <formula>COUNTIFS($B$1:$AM$2,BS11:DE110)</formula>
    </cfRule>
  </conditionalFormatting>
  <conditionalFormatting sqref="O13">
    <cfRule type="expression" dxfId="185" priority="273">
      <formula>COUNTIFS($B$3:$W$4,BV9:DH208)</formula>
    </cfRule>
    <cfRule type="expression" dxfId="184" priority="274">
      <formula>COUNTIFS($B$1:$AM$2,BV9:DH108)</formula>
    </cfRule>
  </conditionalFormatting>
  <conditionalFormatting sqref="N13:O13">
    <cfRule type="expression" dxfId="183" priority="275">
      <formula>COUNTIFS($B$3:$W$4,BI14:CU213)</formula>
    </cfRule>
    <cfRule type="expression" dxfId="182" priority="276">
      <formula>COUNTIFS($B$1:$AM$2,BI14:CU113)</formula>
    </cfRule>
  </conditionalFormatting>
  <conditionalFormatting sqref="O13">
    <cfRule type="expression" dxfId="181" priority="277">
      <formula>COUNTIFS($B$3:$W$4,BV11:DH210)</formula>
    </cfRule>
    <cfRule type="expression" dxfId="180" priority="278">
      <formula>COUNTIFS($B$1:$AM$2,BV11:DH110)</formula>
    </cfRule>
  </conditionalFormatting>
  <conditionalFormatting sqref="N13:O13">
    <cfRule type="expression" dxfId="179" priority="279">
      <formula>COUNTIFS($B$3:$W$4,BI12:CU211)</formula>
    </cfRule>
    <cfRule type="expression" dxfId="178" priority="280">
      <formula>COUNTIFS($B$1:$AM$2,BI12:CU111)</formula>
    </cfRule>
  </conditionalFormatting>
  <conditionalFormatting sqref="N13:O13">
    <cfRule type="expression" dxfId="177" priority="281">
      <formula>COUNTIFS($B$3:$W$4,BU18:DG217)</formula>
    </cfRule>
    <cfRule type="expression" dxfId="176" priority="282">
      <formula>COUNTIFS($B$1:$AM$2,BU18:DG117)</formula>
    </cfRule>
  </conditionalFormatting>
  <conditionalFormatting sqref="K14:L14">
    <cfRule type="expression" dxfId="175" priority="269">
      <formula>COUNTIFS($B$3:$W$4,BF15:CR214)</formula>
    </cfRule>
    <cfRule type="expression" dxfId="174" priority="270">
      <formula>COUNTIFS($B$1:$AM$2,BF15:CR114)</formula>
    </cfRule>
  </conditionalFormatting>
  <conditionalFormatting sqref="L14">
    <cfRule type="expression" dxfId="173" priority="271">
      <formula>COUNTIFS($B$3:$W$4,BS12:DE211)</formula>
    </cfRule>
    <cfRule type="expression" dxfId="172" priority="272">
      <formula>COUNTIFS($B$1:$AM$2,BS12:DE111)</formula>
    </cfRule>
  </conditionalFormatting>
  <conditionalFormatting sqref="O14">
    <cfRule type="expression" dxfId="171" priority="259">
      <formula>COUNTIFS($B$3:$W$4,BV10:DH209)</formula>
    </cfRule>
    <cfRule type="expression" dxfId="170" priority="260">
      <formula>COUNTIFS($B$1:$AM$2,BV10:DH109)</formula>
    </cfRule>
  </conditionalFormatting>
  <conditionalFormatting sqref="N14:O14">
    <cfRule type="expression" dxfId="169" priority="261">
      <formula>COUNTIFS($B$3:$W$4,BI15:CU214)</formula>
    </cfRule>
    <cfRule type="expression" dxfId="168" priority="262">
      <formula>COUNTIFS($B$1:$AM$2,BI15:CU114)</formula>
    </cfRule>
  </conditionalFormatting>
  <conditionalFormatting sqref="O14">
    <cfRule type="expression" dxfId="167" priority="263">
      <formula>COUNTIFS($B$3:$W$4,BV12:DH211)</formula>
    </cfRule>
    <cfRule type="expression" dxfId="166" priority="264">
      <formula>COUNTIFS($B$1:$AM$2,BV12:DH111)</formula>
    </cfRule>
  </conditionalFormatting>
  <conditionalFormatting sqref="N14:O14">
    <cfRule type="expression" dxfId="165" priority="265">
      <formula>COUNTIFS($B$3:$W$4,BI13:CU212)</formula>
    </cfRule>
    <cfRule type="expression" dxfId="164" priority="266">
      <formula>COUNTIFS($B$1:$AM$2,BI13:CU112)</formula>
    </cfRule>
  </conditionalFormatting>
  <conditionalFormatting sqref="N14:O14">
    <cfRule type="expression" dxfId="163" priority="267">
      <formula>COUNTIFS($B$3:$W$4,BU19:DG218)</formula>
    </cfRule>
    <cfRule type="expression" dxfId="162" priority="268">
      <formula>COUNTIFS($B$1:$AM$2,BU19:DG118)</formula>
    </cfRule>
  </conditionalFormatting>
  <conditionalFormatting sqref="V24:AE25 J23:AE23 J26:AE26 B23:I26 J24:M25">
    <cfRule type="expression" dxfId="161" priority="567">
      <formula>COUNTIFS($B$3:$W$4,AW17:CI216)</formula>
    </cfRule>
    <cfRule type="expression" dxfId="160" priority="568">
      <formula>COUNTIFS($B$1:$AM$2,AW17:CI116)</formula>
    </cfRule>
  </conditionalFormatting>
  <conditionalFormatting sqref="G19">
    <cfRule type="expression" dxfId="159" priority="577">
      <formula>COUNTIFS($B$3:$W$4,BA12:CM211)</formula>
    </cfRule>
    <cfRule type="expression" dxfId="158" priority="578">
      <formula>COUNTIFS($B$1:$AM$2,BA12:CM111)</formula>
    </cfRule>
  </conditionalFormatting>
  <conditionalFormatting sqref="J17">
    <cfRule type="expression" dxfId="157" priority="239">
      <formula>COUNTIFS($B$3:$W$4,BE17:CQ216)</formula>
    </cfRule>
    <cfRule type="expression" dxfId="156" priority="240">
      <formula>COUNTIFS($B$1:$AM$2,BE17:CQ116)</formula>
    </cfRule>
  </conditionalFormatting>
  <conditionalFormatting sqref="D16:D17">
    <cfRule type="expression" dxfId="155" priority="241">
      <formula>COUNTIFS($B$3:$W$4,AY13:CK212)</formula>
    </cfRule>
    <cfRule type="expression" dxfId="154" priority="242">
      <formula>COUNTIFS($B$1:$AM$2,AY13:CK112)</formula>
    </cfRule>
  </conditionalFormatting>
  <conditionalFormatting sqref="G16">
    <cfRule type="expression" dxfId="153" priority="237">
      <formula>COUNTIFS($B$3:$W$4,BA13:CM212)</formula>
    </cfRule>
    <cfRule type="expression" dxfId="152" priority="238">
      <formula>COUNTIFS($B$1:$AM$2,BA13:CM112)</formula>
    </cfRule>
  </conditionalFormatting>
  <conditionalFormatting sqref="G16">
    <cfRule type="expression" dxfId="151" priority="243">
      <formula>COUNTIFS($B$3:$W$4,BA17:CM216)</formula>
    </cfRule>
    <cfRule type="expression" dxfId="150" priority="244">
      <formula>COUNTIFS($B$1:$AM$2,BA17:CM116)</formula>
    </cfRule>
  </conditionalFormatting>
  <conditionalFormatting sqref="B16:F16 H16:I16 D17">
    <cfRule type="expression" dxfId="149" priority="245">
      <formula>COUNTIFS($B$3:$W$4,AW17:CI216)</formula>
    </cfRule>
    <cfRule type="expression" dxfId="148" priority="246">
      <formula>COUNTIFS($B$1:$AM$2,AW17:CI116)</formula>
    </cfRule>
  </conditionalFormatting>
  <conditionalFormatting sqref="F16 I16 C16">
    <cfRule type="expression" dxfId="147" priority="247">
      <formula>COUNTIFS($B$3:$W$4,BJ14:CV213)</formula>
    </cfRule>
    <cfRule type="expression" dxfId="146" priority="248">
      <formula>COUNTIFS($B$1:$AM$2,BJ14:CV113)</formula>
    </cfRule>
  </conditionalFormatting>
  <conditionalFormatting sqref="Q16:R16">
    <cfRule type="expression" dxfId="145" priority="231">
      <formula>COUNTIFS($B$3:$W$4,BL17:CX216)</formula>
    </cfRule>
    <cfRule type="expression" dxfId="144" priority="232">
      <formula>COUNTIFS($B$1:$AM$2,BL17:CX116)</formula>
    </cfRule>
  </conditionalFormatting>
  <conditionalFormatting sqref="R16">
    <cfRule type="expression" dxfId="143" priority="233">
      <formula>COUNTIFS($B$3:$W$4,BY14:DK213)</formula>
    </cfRule>
    <cfRule type="expression" dxfId="142" priority="234">
      <formula>COUNTIFS($B$1:$AM$2,BY14:DK113)</formula>
    </cfRule>
  </conditionalFormatting>
  <conditionalFormatting sqref="Q17:R17">
    <cfRule type="expression" dxfId="141" priority="227">
      <formula>COUNTIFS($B$3:$W$4,BL18:CX217)</formula>
    </cfRule>
    <cfRule type="expression" dxfId="140" priority="228">
      <formula>COUNTIFS($B$1:$AM$2,BL18:CX117)</formula>
    </cfRule>
  </conditionalFormatting>
  <conditionalFormatting sqref="R17">
    <cfRule type="expression" dxfId="139" priority="229">
      <formula>COUNTIFS($B$3:$W$4,BY15:DK214)</formula>
    </cfRule>
    <cfRule type="expression" dxfId="138" priority="230">
      <formula>COUNTIFS($B$1:$AM$2,BY15:DK114)</formula>
    </cfRule>
  </conditionalFormatting>
  <conditionalFormatting sqref="D17">
    <cfRule type="expression" dxfId="137" priority="249">
      <formula>COUNTIFS($B$3:$W$4,AY16:CK215)</formula>
    </cfRule>
    <cfRule type="expression" dxfId="136" priority="250">
      <formula>COUNTIFS($B$1:$AM$2,AY16:CK115)</formula>
    </cfRule>
  </conditionalFormatting>
  <conditionalFormatting sqref="D17">
    <cfRule type="expression" dxfId="135" priority="251">
      <formula>COUNTIFS($B$3:$W$4,AY12:CK211)</formula>
    </cfRule>
    <cfRule type="expression" dxfId="134" priority="252">
      <formula>COUNTIFS($B$1:$AM$2,AY12:CK111)</formula>
    </cfRule>
  </conditionalFormatting>
  <conditionalFormatting sqref="D17">
    <cfRule type="expression" dxfId="133" priority="257">
      <formula>COUNTIFS($B$3:$W$4,BK22:CW221)</formula>
    </cfRule>
    <cfRule type="expression" dxfId="132" priority="258">
      <formula>COUNTIFS($B$1:$AM$2,BK22:CW121)</formula>
    </cfRule>
  </conditionalFormatting>
  <conditionalFormatting sqref="K16:L16">
    <cfRule type="expression" dxfId="131" priority="223">
      <formula>COUNTIFS($B$3:$W$4,BF17:CR216)</formula>
    </cfRule>
    <cfRule type="expression" dxfId="130" priority="224">
      <formula>COUNTIFS($B$1:$AM$2,BF17:CR116)</formula>
    </cfRule>
  </conditionalFormatting>
  <conditionalFormatting sqref="L16">
    <cfRule type="expression" dxfId="129" priority="225">
      <formula>COUNTIFS($B$3:$W$4,BS14:DE213)</formula>
    </cfRule>
    <cfRule type="expression" dxfId="128" priority="226">
      <formula>COUNTIFS($B$1:$AM$2,BS14:DE113)</formula>
    </cfRule>
  </conditionalFormatting>
  <conditionalFormatting sqref="K17:L17">
    <cfRule type="expression" dxfId="127" priority="209">
      <formula>COUNTIFS($B$3:$W$4,BF18:CR217)</formula>
    </cfRule>
    <cfRule type="expression" dxfId="126" priority="210">
      <formula>COUNTIFS($B$1:$AM$2,BF18:CR117)</formula>
    </cfRule>
  </conditionalFormatting>
  <conditionalFormatting sqref="L17">
    <cfRule type="expression" dxfId="125" priority="211">
      <formula>COUNTIFS($B$3:$W$4,BS15:DE214)</formula>
    </cfRule>
    <cfRule type="expression" dxfId="124" priority="212">
      <formula>COUNTIFS($B$1:$AM$2,BS15:DE114)</formula>
    </cfRule>
  </conditionalFormatting>
  <conditionalFormatting sqref="B19:F19 H19:I19">
    <cfRule type="expression" dxfId="123" priority="587">
      <formula>COUNTIFS($B$3:$W$4,AW12:CI211)</formula>
    </cfRule>
    <cfRule type="expression" dxfId="122" priority="588">
      <formula>COUNTIFS($B$1:$AM$2,AW12:CI111)</formula>
    </cfRule>
  </conditionalFormatting>
  <conditionalFormatting sqref="B17:C17">
    <cfRule type="expression" dxfId="121" priority="195">
      <formula>COUNTIFS($B$3:$W$4,AW17:CI216)</formula>
    </cfRule>
    <cfRule type="expression" dxfId="120" priority="196">
      <formula>COUNTIFS($B$1:$AM$2,AW17:CI116)</formula>
    </cfRule>
  </conditionalFormatting>
  <conditionalFormatting sqref="C17">
    <cfRule type="expression" dxfId="119" priority="197">
      <formula>COUNTIFS($B$3:$W$4,BJ14:CV213)</formula>
    </cfRule>
    <cfRule type="expression" dxfId="118" priority="198">
      <formula>COUNTIFS($B$1:$AM$2,BJ14:CV113)</formula>
    </cfRule>
  </conditionalFormatting>
  <conditionalFormatting sqref="G17">
    <cfRule type="expression" dxfId="117" priority="185">
      <formula>COUNTIFS($B$3:$W$4,BA6:CM205)</formula>
    </cfRule>
    <cfRule type="expression" dxfId="116" priority="186">
      <formula>COUNTIFS($B$1:$AM$2,BA6:CM105)</formula>
    </cfRule>
  </conditionalFormatting>
  <conditionalFormatting sqref="E17:I17">
    <cfRule type="expression" dxfId="115" priority="187">
      <formula>COUNTIFS($B$3:$W$4,BL16:CX215)</formula>
    </cfRule>
    <cfRule type="expression" dxfId="114" priority="188">
      <formula>COUNTIFS($B$1:$AM$2,BL16:CX115)</formula>
    </cfRule>
  </conditionalFormatting>
  <conditionalFormatting sqref="F17 I17">
    <cfRule type="expression" dxfId="113" priority="189">
      <formula>COUNTIFS($B$3:$W$4,BM7:CY206)</formula>
    </cfRule>
    <cfRule type="expression" dxfId="112" priority="190">
      <formula>COUNTIFS($B$1:$AM$2,BM7:CY106)</formula>
    </cfRule>
  </conditionalFormatting>
  <conditionalFormatting sqref="G17">
    <cfRule type="expression" dxfId="111" priority="191">
      <formula>COUNTIFS($B$3:$W$4,BA10:CM209)</formula>
    </cfRule>
    <cfRule type="expression" dxfId="110" priority="192">
      <formula>COUNTIFS($B$1:$AM$2,BA10:CM109)</formula>
    </cfRule>
  </conditionalFormatting>
  <conditionalFormatting sqref="E17:F17 H17:I17">
    <cfRule type="expression" dxfId="109" priority="193">
      <formula>COUNTIFS($B$3:$W$4,AZ10:CL209)</formula>
    </cfRule>
    <cfRule type="expression" dxfId="108" priority="194">
      <formula>COUNTIFS($B$1:$AM$2,AZ10:CL109)</formula>
    </cfRule>
  </conditionalFormatting>
  <conditionalFormatting sqref="N16:O16">
    <cfRule type="expression" dxfId="107" priority="179">
      <formula>COUNTIFS($B$3:$W$4,BU15:DG214)</formula>
    </cfRule>
    <cfRule type="expression" dxfId="106" priority="180">
      <formula>COUNTIFS($B$1:$AM$2,BU15:DG114)</formula>
    </cfRule>
  </conditionalFormatting>
  <conditionalFormatting sqref="O16">
    <cfRule type="expression" dxfId="105" priority="181">
      <formula>COUNTIFS($B$3:$W$4,BV6:DH205)</formula>
    </cfRule>
    <cfRule type="expression" dxfId="104" priority="182">
      <formula>COUNTIFS($B$1:$AM$2,BV6:DH105)</formula>
    </cfRule>
  </conditionalFormatting>
  <conditionalFormatting sqref="N16:O16">
    <cfRule type="expression" dxfId="103" priority="183">
      <formula>COUNTIFS($B$3:$W$4,BI9:CU208)</formula>
    </cfRule>
    <cfRule type="expression" dxfId="102" priority="184">
      <formula>COUNTIFS($B$1:$AM$2,BI9:CU108)</formula>
    </cfRule>
  </conditionalFormatting>
  <conditionalFormatting sqref="N17:O17">
    <cfRule type="expression" dxfId="101" priority="173">
      <formula>COUNTIFS($B$3:$W$4,BU16:DG215)</formula>
    </cfRule>
    <cfRule type="expression" dxfId="100" priority="174">
      <formula>COUNTIFS($B$1:$AM$2,BU16:DG115)</formula>
    </cfRule>
  </conditionalFormatting>
  <conditionalFormatting sqref="O17">
    <cfRule type="expression" dxfId="99" priority="175">
      <formula>COUNTIFS($B$3:$W$4,BV7:DH206)</formula>
    </cfRule>
    <cfRule type="expression" dxfId="98" priority="176">
      <formula>COUNTIFS($B$1:$AM$2,BV7:DH106)</formula>
    </cfRule>
  </conditionalFormatting>
  <conditionalFormatting sqref="N17:O17">
    <cfRule type="expression" dxfId="97" priority="177">
      <formula>COUNTIFS($B$3:$W$4,BI10:CU209)</formula>
    </cfRule>
    <cfRule type="expression" dxfId="96" priority="178">
      <formula>COUNTIFS($B$1:$AM$2,BI10:CU109)</formula>
    </cfRule>
  </conditionalFormatting>
  <conditionalFormatting sqref="D20">
    <cfRule type="expression" dxfId="95" priority="155">
      <formula>COUNTIFS($B$3:$W$4,AY17:CK216)</formula>
    </cfRule>
    <cfRule type="expression" dxfId="94" priority="156">
      <formula>COUNTIFS($B$1:$AM$2,AY17:CK116)</formula>
    </cfRule>
  </conditionalFormatting>
  <conditionalFormatting sqref="G20">
    <cfRule type="expression" dxfId="93" priority="153">
      <formula>COUNTIFS($B$3:$W$4,BA17:CM216)</formula>
    </cfRule>
    <cfRule type="expression" dxfId="92" priority="154">
      <formula>COUNTIFS($B$1:$AM$2,BA17:CM116)</formula>
    </cfRule>
  </conditionalFormatting>
  <conditionalFormatting sqref="G20">
    <cfRule type="expression" dxfId="91" priority="157">
      <formula>COUNTIFS($B$3:$W$4,BA21:CM220)</formula>
    </cfRule>
    <cfRule type="expression" dxfId="90" priority="158">
      <formula>COUNTIFS($B$1:$AM$2,BA21:CM120)</formula>
    </cfRule>
  </conditionalFormatting>
  <conditionalFormatting sqref="F20 I20 C20">
    <cfRule type="expression" dxfId="89" priority="151">
      <formula>COUNTIFS($B$3:$W$4,BJ16:CV215)</formula>
    </cfRule>
    <cfRule type="expression" dxfId="88" priority="152">
      <formula>COUNTIFS($B$1:$AM$2,BJ16:CV115)</formula>
    </cfRule>
  </conditionalFormatting>
  <conditionalFormatting sqref="B20:F20 H20:I20">
    <cfRule type="expression" dxfId="87" priority="159">
      <formula>COUNTIFS($B$3:$W$4,AW21:CI220)</formula>
    </cfRule>
    <cfRule type="expression" dxfId="86" priority="160">
      <formula>COUNTIFS($B$1:$AM$2,AW21:CI120)</formula>
    </cfRule>
  </conditionalFormatting>
  <conditionalFormatting sqref="F20 I20 C20">
    <cfRule type="expression" dxfId="85" priority="161">
      <formula>COUNTIFS($B$3:$W$4,BJ18:CV217)</formula>
    </cfRule>
    <cfRule type="expression" dxfId="84" priority="162">
      <formula>COUNTIFS($B$1:$AM$2,BJ18:CV117)</formula>
    </cfRule>
  </conditionalFormatting>
  <conditionalFormatting sqref="B20:F20 H20:I20">
    <cfRule type="expression" dxfId="83" priority="163">
      <formula>COUNTIFS($B$3:$W$4,AW19:CI218)</formula>
    </cfRule>
    <cfRule type="expression" dxfId="82" priority="164">
      <formula>COUNTIFS($B$1:$AM$2,AW19:CI118)</formula>
    </cfRule>
  </conditionalFormatting>
  <conditionalFormatting sqref="D20">
    <cfRule type="expression" dxfId="81" priority="165">
      <formula>COUNTIFS($B$3:$W$4,AY15:CK214)</formula>
    </cfRule>
    <cfRule type="expression" dxfId="80" priority="166">
      <formula>COUNTIFS($B$1:$AM$2,AY15:CK114)</formula>
    </cfRule>
  </conditionalFormatting>
  <conditionalFormatting sqref="G20">
    <cfRule type="expression" dxfId="79" priority="167">
      <formula>COUNTIFS($B$3:$W$4,BA15:CM214)</formula>
    </cfRule>
    <cfRule type="expression" dxfId="78" priority="168">
      <formula>COUNTIFS($B$1:$AM$2,BA15:CM114)</formula>
    </cfRule>
  </conditionalFormatting>
  <conditionalFormatting sqref="G20">
    <cfRule type="expression" dxfId="77" priority="169">
      <formula>COUNTIFS($B$3:$W$4,BA19:CM218)</formula>
    </cfRule>
    <cfRule type="expression" dxfId="76" priority="170">
      <formula>COUNTIFS($B$1:$AM$2,BA19:CM118)</formula>
    </cfRule>
  </conditionalFormatting>
  <conditionalFormatting sqref="B20:I20">
    <cfRule type="expression" dxfId="75" priority="171">
      <formula>COUNTIFS($B$3:$W$4,BI25:CU224)</formula>
    </cfRule>
    <cfRule type="expression" dxfId="74" priority="172">
      <formula>COUNTIFS($B$1:$AM$2,BI25:CU124)</formula>
    </cfRule>
  </conditionalFormatting>
  <conditionalFormatting sqref="Q19:R19">
    <cfRule type="expression" dxfId="73" priority="129">
      <formula>COUNTIFS($B$3:$W$4,BL20:CX219)</formula>
    </cfRule>
    <cfRule type="expression" dxfId="72" priority="130">
      <formula>COUNTIFS($B$1:$AM$2,BL20:CX119)</formula>
    </cfRule>
  </conditionalFormatting>
  <conditionalFormatting sqref="R19">
    <cfRule type="expression" dxfId="71" priority="131">
      <formula>COUNTIFS($B$3:$W$4,BY17:DK216)</formula>
    </cfRule>
    <cfRule type="expression" dxfId="70" priority="132">
      <formula>COUNTIFS($B$1:$AM$2,BY17:DK116)</formula>
    </cfRule>
  </conditionalFormatting>
  <conditionalFormatting sqref="K19:L19">
    <cfRule type="expression" dxfId="69" priority="109">
      <formula>COUNTIFS($B$3:$W$4,BR18:DD217)</formula>
    </cfRule>
    <cfRule type="expression" dxfId="68" priority="110">
      <formula>COUNTIFS($B$1:$AM$2,BR18:DD117)</formula>
    </cfRule>
  </conditionalFormatting>
  <conditionalFormatting sqref="L19">
    <cfRule type="expression" dxfId="67" priority="111">
      <formula>COUNTIFS($B$3:$W$4,BS9:DE208)</formula>
    </cfRule>
    <cfRule type="expression" dxfId="66" priority="112">
      <formula>COUNTIFS($B$1:$AM$2,BS9:DE108)</formula>
    </cfRule>
  </conditionalFormatting>
  <conditionalFormatting sqref="K19:L19">
    <cfRule type="expression" dxfId="65" priority="113">
      <formula>COUNTIFS($B$3:$W$4,BF12:CR211)</formula>
    </cfRule>
    <cfRule type="expression" dxfId="64" priority="114">
      <formula>COUNTIFS($B$1:$AM$2,BF12:CR111)</formula>
    </cfRule>
  </conditionalFormatting>
  <conditionalFormatting sqref="O19">
    <cfRule type="expression" dxfId="63" priority="99">
      <formula>COUNTIFS($B$3:$W$4,BV15:DH214)</formula>
    </cfRule>
    <cfRule type="expression" dxfId="62" priority="100">
      <formula>COUNTIFS($B$1:$AM$2,BV15:DH114)</formula>
    </cfRule>
  </conditionalFormatting>
  <conditionalFormatting sqref="N19:O19">
    <cfRule type="expression" dxfId="61" priority="101">
      <formula>COUNTIFS($B$3:$W$4,BI20:CU219)</formula>
    </cfRule>
    <cfRule type="expression" dxfId="60" priority="102">
      <formula>COUNTIFS($B$1:$AM$2,BI20:CU119)</formula>
    </cfRule>
  </conditionalFormatting>
  <conditionalFormatting sqref="O19">
    <cfRule type="expression" dxfId="59" priority="103">
      <formula>COUNTIFS($B$3:$W$4,BV17:DH216)</formula>
    </cfRule>
    <cfRule type="expression" dxfId="58" priority="104">
      <formula>COUNTIFS($B$1:$AM$2,BV17:DH116)</formula>
    </cfRule>
  </conditionalFormatting>
  <conditionalFormatting sqref="N19:O19">
    <cfRule type="expression" dxfId="57" priority="105">
      <formula>COUNTIFS($B$3:$W$4,BI18:CU217)</formula>
    </cfRule>
    <cfRule type="expression" dxfId="56" priority="106">
      <formula>COUNTIFS($B$1:$AM$2,BI18:CU117)</formula>
    </cfRule>
  </conditionalFormatting>
  <conditionalFormatting sqref="N19:O19">
    <cfRule type="expression" dxfId="55" priority="107">
      <formula>COUNTIFS($B$3:$W$4,BU24:DG223)</formula>
    </cfRule>
    <cfRule type="expression" dxfId="54" priority="108">
      <formula>COUNTIFS($B$1:$AM$2,BU24:DG123)</formula>
    </cfRule>
  </conditionalFormatting>
  <conditionalFormatting sqref="K20:L20">
    <cfRule type="expression" dxfId="53" priority="93">
      <formula>COUNTIFS($B$3:$W$4,BR19:DD218)</formula>
    </cfRule>
    <cfRule type="expression" dxfId="52" priority="94">
      <formula>COUNTIFS($B$1:$AM$2,BR19:DD118)</formula>
    </cfRule>
  </conditionalFormatting>
  <conditionalFormatting sqref="L20">
    <cfRule type="expression" dxfId="51" priority="95">
      <formula>COUNTIFS($B$3:$W$4,BS10:DE209)</formula>
    </cfRule>
    <cfRule type="expression" dxfId="50" priority="96">
      <formula>COUNTIFS($B$1:$AM$2,BS10:DE109)</formula>
    </cfRule>
  </conditionalFormatting>
  <conditionalFormatting sqref="K20:L20">
    <cfRule type="expression" dxfId="49" priority="97">
      <formula>COUNTIFS($B$3:$W$4,BF13:CR212)</formula>
    </cfRule>
    <cfRule type="expression" dxfId="48" priority="98">
      <formula>COUNTIFS($B$1:$AM$2,BF13:CR112)</formula>
    </cfRule>
  </conditionalFormatting>
  <conditionalFormatting sqref="O20">
    <cfRule type="expression" dxfId="47" priority="83">
      <formula>COUNTIFS($B$3:$W$4,BV16:DH215)</formula>
    </cfRule>
    <cfRule type="expression" dxfId="46" priority="84">
      <formula>COUNTIFS($B$1:$AM$2,BV16:DH115)</formula>
    </cfRule>
  </conditionalFormatting>
  <conditionalFormatting sqref="N20:O20">
    <cfRule type="expression" dxfId="45" priority="85">
      <formula>COUNTIFS($B$3:$W$4,BI21:CU220)</formula>
    </cfRule>
    <cfRule type="expression" dxfId="44" priority="86">
      <formula>COUNTIFS($B$1:$AM$2,BI21:CU120)</formula>
    </cfRule>
  </conditionalFormatting>
  <conditionalFormatting sqref="O20">
    <cfRule type="expression" dxfId="43" priority="87">
      <formula>COUNTIFS($B$3:$W$4,BV18:DH217)</formula>
    </cfRule>
    <cfRule type="expression" dxfId="42" priority="88">
      <formula>COUNTIFS($B$1:$AM$2,BV18:DH117)</formula>
    </cfRule>
  </conditionalFormatting>
  <conditionalFormatting sqref="N20:O20">
    <cfRule type="expression" dxfId="41" priority="89">
      <formula>COUNTIFS($B$3:$W$4,BI19:CU218)</formula>
    </cfRule>
    <cfRule type="expression" dxfId="40" priority="90">
      <formula>COUNTIFS($B$1:$AM$2,BI19:CU118)</formula>
    </cfRule>
  </conditionalFormatting>
  <conditionalFormatting sqref="N20:O20">
    <cfRule type="expression" dxfId="39" priority="91">
      <formula>COUNTIFS($B$3:$W$4,BU25:DG224)</formula>
    </cfRule>
    <cfRule type="expression" dxfId="38" priority="92">
      <formula>COUNTIFS($B$1:$AM$2,BU25:DG124)</formula>
    </cfRule>
  </conditionalFormatting>
  <conditionalFormatting sqref="Q20:R20">
    <cfRule type="expression" dxfId="37" priority="79">
      <formula>COUNTIFS($B$3:$W$4,BL21:CX220)</formula>
    </cfRule>
    <cfRule type="expression" dxfId="36" priority="80">
      <formula>COUNTIFS($B$1:$AM$2,BL21:CX120)</formula>
    </cfRule>
  </conditionalFormatting>
  <conditionalFormatting sqref="R20">
    <cfRule type="expression" dxfId="35" priority="81">
      <formula>COUNTIFS($B$3:$W$4,BY18:DK217)</formula>
    </cfRule>
    <cfRule type="expression" dxfId="34" priority="82">
      <formula>COUNTIFS($B$1:$AM$2,BY18:DK117)</formula>
    </cfRule>
  </conditionalFormatting>
  <conditionalFormatting sqref="T8:T9 W8:W9 O8:Q9">
    <cfRule type="expression" dxfId="33" priority="75">
      <formula>COUNTIFS($B$3:$W$4,BR7:DD206)</formula>
    </cfRule>
    <cfRule type="expression" dxfId="32" priority="76">
      <formula>COUNTIFS($B$1:$AM$2,BR7:DD106)</formula>
    </cfRule>
  </conditionalFormatting>
  <conditionalFormatting sqref="P8:P9">
    <cfRule type="expression" dxfId="31" priority="77">
      <formula>COUNTIFS($B$3:$W$4,CE4:DQ203)</formula>
    </cfRule>
    <cfRule type="expression" dxfId="30" priority="78">
      <formula>COUNTIFS($B$1:$AM$2,CE4:DQ103)</formula>
    </cfRule>
  </conditionalFormatting>
  <conditionalFormatting sqref="R8:S9">
    <cfRule type="expression" dxfId="29" priority="71">
      <formula>COUNTIFS($B$3:$W$4,BU7:DG206)</formula>
    </cfRule>
    <cfRule type="expression" dxfId="28" priority="72">
      <formula>COUNTIFS($B$1:$AM$2,BU7:DG106)</formula>
    </cfRule>
  </conditionalFormatting>
  <conditionalFormatting sqref="S8:S9">
    <cfRule type="expression" dxfId="27" priority="73">
      <formula>COUNTIFS($B$3:$W$4,CH4:DT203)</formula>
    </cfRule>
    <cfRule type="expression" dxfId="26" priority="74">
      <formula>COUNTIFS($B$1:$AM$2,CH4:DT103)</formula>
    </cfRule>
  </conditionalFormatting>
  <conditionalFormatting sqref="U8:V9">
    <cfRule type="expression" dxfId="25" priority="67">
      <formula>COUNTIFS($B$3:$W$4,BX7:DJ206)</formula>
    </cfRule>
    <cfRule type="expression" dxfId="24" priority="68">
      <formula>COUNTIFS($B$1:$AM$2,BX7:DJ106)</formula>
    </cfRule>
  </conditionalFormatting>
  <conditionalFormatting sqref="V8:V9">
    <cfRule type="expression" dxfId="23" priority="69">
      <formula>COUNTIFS($B$3:$W$4,CK4:DW203)</formula>
    </cfRule>
    <cfRule type="expression" dxfId="22" priority="70">
      <formula>COUNTIFS($B$1:$AM$2,CK4:DW103)</formula>
    </cfRule>
  </conditionalFormatting>
  <conditionalFormatting sqref="AE8">
    <cfRule type="expression" dxfId="21" priority="53">
      <formula>COUNTIFS($B$3:$W$4,CF7:DR206)</formula>
    </cfRule>
    <cfRule type="expression" dxfId="20" priority="54">
      <formula>COUNTIFS($B$1:$AM$2,CF7:DR106)</formula>
    </cfRule>
  </conditionalFormatting>
  <conditionalFormatting sqref="AB8">
    <cfRule type="expression" dxfId="19" priority="41">
      <formula>COUNTIFS($B$3:$W$4,CE7:DQ206)</formula>
    </cfRule>
    <cfRule type="expression" dxfId="18" priority="42">
      <formula>COUNTIFS($B$1:$AM$2,CE7:DQ106)</formula>
    </cfRule>
  </conditionalFormatting>
  <conditionalFormatting sqref="X8:Y8">
    <cfRule type="expression" dxfId="17" priority="17">
      <formula>COUNTIFS($B$3:$W$4,CA7:DM206)</formula>
    </cfRule>
    <cfRule type="expression" dxfId="16" priority="18">
      <formula>COUNTIFS($B$1:$AM$2,CA7:DM106)</formula>
    </cfRule>
  </conditionalFormatting>
  <conditionalFormatting sqref="Y8">
    <cfRule type="expression" dxfId="15" priority="19">
      <formula>COUNTIFS($B$3:$W$4,CN4:DZ203)</formula>
    </cfRule>
    <cfRule type="expression" dxfId="14" priority="20">
      <formula>COUNTIFS($B$1:$AM$2,CN4:DZ103)</formula>
    </cfRule>
  </conditionalFormatting>
  <conditionalFormatting sqref="AB8">
    <cfRule type="expression" dxfId="13" priority="593">
      <formula>COUNTIFS($B$3:$W$4,CC7:DO206)</formula>
    </cfRule>
    <cfRule type="expression" dxfId="12" priority="594">
      <formula>COUNTIFS($B$1:$AM$2,CC7:DO106)</formula>
    </cfRule>
  </conditionalFormatting>
  <conditionalFormatting sqref="AD8">
    <cfRule type="expression" dxfId="11" priority="9">
      <formula>COUNTIFS($B$3:$W$4,BT9:DF208)</formula>
    </cfRule>
    <cfRule type="expression" dxfId="10" priority="10">
      <formula>COUNTIFS($B$1:$AM$2,BT9:DF108)</formula>
    </cfRule>
  </conditionalFormatting>
  <conditionalFormatting sqref="AC8:AD8">
    <cfRule type="expression" dxfId="9" priority="5">
      <formula>COUNTIFS($B$3:$W$4,CA8:DM207)</formula>
    </cfRule>
    <cfRule type="expression" dxfId="8" priority="6">
      <formula>COUNTIFS($B$1:$AM$2,CA8:DM107)</formula>
    </cfRule>
  </conditionalFormatting>
  <conditionalFormatting sqref="AD8">
    <cfRule type="expression" dxfId="7" priority="7">
      <formula>COUNTIFS($B$3:$W$4,CN5:DZ204)</formula>
    </cfRule>
    <cfRule type="expression" dxfId="6" priority="8">
      <formula>COUNTIFS($B$1:$AM$2,CN5:DZ104)</formula>
    </cfRule>
  </conditionalFormatting>
  <conditionalFormatting sqref="X11:Y12">
    <cfRule type="expression" dxfId="5" priority="1">
      <formula>COUNTIFS($B$3:$W$4,CA10:DM209)</formula>
    </cfRule>
    <cfRule type="expression" dxfId="4" priority="2">
      <formula>COUNTIFS($B$1:$AM$2,CA10:DM109)</formula>
    </cfRule>
  </conditionalFormatting>
  <conditionalFormatting sqref="Y11:Y12">
    <cfRule type="expression" dxfId="3" priority="3">
      <formula>COUNTIFS($B$3:$W$4,CN7:DZ206)</formula>
    </cfRule>
    <cfRule type="expression" dxfId="2" priority="4">
      <formula>COUNTIFS($B$1:$AM$2,CN7:DZ106)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F1DE5-68DF-4E93-A61F-B250F9002C75}">
  <dimension ref="E3:AB7"/>
  <sheetViews>
    <sheetView workbookViewId="0">
      <selection activeCell="AB7" sqref="AB7"/>
    </sheetView>
  </sheetViews>
  <sheetFormatPr defaultColWidth="3" defaultRowHeight="18" x14ac:dyDescent="0.45"/>
  <cols>
    <col min="1" max="4" width="3" style="344"/>
    <col min="5" max="5" width="3.5" style="344" bestFit="1" customWidth="1"/>
    <col min="6" max="11" width="3" style="344"/>
    <col min="12" max="12" width="3.3984375" style="344" bestFit="1" customWidth="1"/>
    <col min="13" max="13" width="3" style="344"/>
    <col min="14" max="14" width="3.3984375" style="344" bestFit="1" customWidth="1"/>
    <col min="15" max="15" width="3" style="344"/>
    <col min="16" max="16" width="3.3984375" style="344" bestFit="1" customWidth="1"/>
    <col min="17" max="17" width="3" style="344"/>
    <col min="18" max="18" width="3.3984375" style="344" bestFit="1" customWidth="1"/>
    <col min="19" max="21" width="3" style="344"/>
    <col min="22" max="22" width="3.3984375" style="344" bestFit="1" customWidth="1"/>
    <col min="23" max="23" width="3" style="344"/>
    <col min="24" max="24" width="3.3984375" style="344" bestFit="1" customWidth="1"/>
    <col min="25" max="25" width="3" style="344"/>
    <col min="26" max="26" width="3.3984375" style="344" bestFit="1" customWidth="1"/>
    <col min="27" max="27" width="3" style="344"/>
    <col min="28" max="28" width="3.3984375" style="344" bestFit="1" customWidth="1"/>
    <col min="29" max="16384" width="3" style="344"/>
  </cols>
  <sheetData>
    <row r="3" spans="5:28" x14ac:dyDescent="0.45">
      <c r="E3" s="344" t="s">
        <v>416</v>
      </c>
      <c r="F3" s="344" t="s">
        <v>155</v>
      </c>
      <c r="H3" s="344" t="s">
        <v>133</v>
      </c>
      <c r="I3" s="344" t="s">
        <v>155</v>
      </c>
    </row>
    <row r="4" spans="5:28" x14ac:dyDescent="0.45">
      <c r="F4" s="344" t="s">
        <v>115</v>
      </c>
      <c r="I4" s="344" t="s">
        <v>115</v>
      </c>
    </row>
    <row r="6" spans="5:28" x14ac:dyDescent="0.45">
      <c r="E6" s="344">
        <f>IF(E3="H",1,IF(E3="C",6,IF(E3="N",7,IF(E3="O",8,IF(E3="Fb",37,IF(E3="Cs",55,""))))))</f>
        <v>37</v>
      </c>
      <c r="F6" s="344">
        <f>IF(F3="H",1,IF(F3="C",6,IF(F3="N",7,IF(F3="O",8,IF(F3="Fb",37,IF(F3="Cs",55,""))))))</f>
        <v>8</v>
      </c>
      <c r="H6" s="344">
        <f>IF(H3="H",1,IF(H3="C",6,IF(H3="N",7,IF(H3="O",8,IF(H3="Fb",37,IF(H3="Cs",55,""))))))</f>
        <v>55</v>
      </c>
      <c r="I6" s="344">
        <f>IF(I3="H",1,IF(I3="C",6,IF(I3="N",7,IF(I3="O",8,IF(I3="Fb",37,IF(I3="Cs",55,""))))))</f>
        <v>8</v>
      </c>
      <c r="L6" s="344">
        <v>37</v>
      </c>
      <c r="M6" s="344" t="s">
        <v>39</v>
      </c>
      <c r="N6" s="344">
        <v>19</v>
      </c>
      <c r="O6" s="344" t="s">
        <v>40</v>
      </c>
      <c r="P6" s="344">
        <v>18</v>
      </c>
      <c r="R6" s="344">
        <v>37</v>
      </c>
      <c r="S6" s="344" t="s">
        <v>40</v>
      </c>
      <c r="T6" s="344">
        <v>8</v>
      </c>
      <c r="U6" s="344" t="s">
        <v>40</v>
      </c>
      <c r="V6" s="344">
        <v>1</v>
      </c>
      <c r="W6" s="344" t="s">
        <v>39</v>
      </c>
      <c r="X6" s="344">
        <v>46</v>
      </c>
      <c r="Y6" s="344" t="s">
        <v>39</v>
      </c>
      <c r="Z6" s="344">
        <v>23</v>
      </c>
      <c r="AA6" s="344" t="s">
        <v>40</v>
      </c>
      <c r="AB6" s="344">
        <v>23</v>
      </c>
    </row>
    <row r="7" spans="5:28" x14ac:dyDescent="0.45">
      <c r="E7" s="344" t="str">
        <f>IF(E4="H",1,IF(E4="C",6,IF(E4="N",7,IF(E4="O",8,IF(E4="Fb",37,IF(E4="Cs",55,""))))))</f>
        <v/>
      </c>
      <c r="F7" s="344">
        <f>IF(F4="H",1,IF(F4="C",6,IF(F4="N",7,IF(F4="O",8,IF(F4="Fb",37,IF(F4="Cs",55,""))))))</f>
        <v>1</v>
      </c>
      <c r="H7" s="344" t="str">
        <f>IF(H4="H",1,IF(H4="C",6,IF(H4="N",7,IF(H4="O",8,IF(H4="Fb",37,IF(H4="Cs",55,""))))))</f>
        <v/>
      </c>
      <c r="I7" s="344">
        <f>IF(I4="H",1,IF(I4="C",6,IF(I4="N",7,IF(I4="O",8,IF(I4="Fb",37,IF(I4="Cs",55,""))))))</f>
        <v>1</v>
      </c>
      <c r="L7" s="344">
        <v>55</v>
      </c>
      <c r="M7" s="344" t="s">
        <v>39</v>
      </c>
      <c r="N7" s="344">
        <v>29</v>
      </c>
      <c r="O7" s="344" t="s">
        <v>40</v>
      </c>
      <c r="P7" s="344">
        <v>28</v>
      </c>
      <c r="R7" s="344">
        <v>55</v>
      </c>
      <c r="S7" s="344" t="s">
        <v>40</v>
      </c>
      <c r="T7" s="344">
        <v>8</v>
      </c>
      <c r="U7" s="344" t="s">
        <v>40</v>
      </c>
      <c r="V7" s="344">
        <v>1</v>
      </c>
      <c r="W7" s="344" t="s">
        <v>39</v>
      </c>
      <c r="X7" s="344">
        <v>64</v>
      </c>
      <c r="Y7" s="344" t="s">
        <v>39</v>
      </c>
      <c r="Z7" s="344">
        <v>32</v>
      </c>
      <c r="AA7" s="344" t="s">
        <v>40</v>
      </c>
      <c r="AB7" s="344">
        <v>32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573B2-8CFA-4A01-86C7-AF0B3AE39BA1}">
  <dimension ref="C2:AC24"/>
  <sheetViews>
    <sheetView workbookViewId="0"/>
  </sheetViews>
  <sheetFormatPr defaultColWidth="3.69921875" defaultRowHeight="18" x14ac:dyDescent="0.45"/>
  <cols>
    <col min="1" max="24" width="3.69921875" style="271"/>
    <col min="25" max="25" width="3.796875" style="271" customWidth="1"/>
    <col min="26" max="16384" width="3.69921875" style="271"/>
  </cols>
  <sheetData>
    <row r="2" spans="3:27" x14ac:dyDescent="0.45">
      <c r="C2" s="271" t="s">
        <v>28</v>
      </c>
      <c r="D2" s="271">
        <v>85</v>
      </c>
      <c r="E2" s="271" t="s">
        <v>39</v>
      </c>
      <c r="F2" s="271">
        <v>42</v>
      </c>
      <c r="G2" s="271" t="s">
        <v>40</v>
      </c>
      <c r="H2" s="271">
        <v>22</v>
      </c>
      <c r="I2" s="271" t="s">
        <v>40</v>
      </c>
      <c r="J2" s="271">
        <v>11</v>
      </c>
      <c r="K2" s="271" t="s">
        <v>40</v>
      </c>
      <c r="L2" s="271">
        <v>10</v>
      </c>
    </row>
    <row r="3" spans="3:27" x14ac:dyDescent="0.45">
      <c r="C3" s="271" t="s">
        <v>20</v>
      </c>
      <c r="D3" s="271">
        <v>53</v>
      </c>
      <c r="E3" s="271" t="s">
        <v>39</v>
      </c>
      <c r="F3" s="271">
        <v>27</v>
      </c>
      <c r="G3" s="271" t="s">
        <v>40</v>
      </c>
      <c r="H3" s="271">
        <v>26</v>
      </c>
    </row>
    <row r="4" spans="3:27" x14ac:dyDescent="0.45">
      <c r="C4" s="271" t="s">
        <v>11</v>
      </c>
      <c r="D4" s="271">
        <v>35</v>
      </c>
      <c r="E4" s="271" t="s">
        <v>39</v>
      </c>
      <c r="F4" s="271">
        <v>18</v>
      </c>
      <c r="G4" s="271" t="s">
        <v>40</v>
      </c>
      <c r="H4" s="271">
        <v>17</v>
      </c>
    </row>
    <row r="5" spans="3:27" ht="18.600000000000001" thickBot="1" x14ac:dyDescent="0.5"/>
    <row r="6" spans="3:27" x14ac:dyDescent="0.45">
      <c r="C6" s="272" t="s">
        <v>28</v>
      </c>
      <c r="D6" s="273" t="s">
        <v>11</v>
      </c>
      <c r="H6" s="310" t="s">
        <v>20</v>
      </c>
      <c r="I6" s="311" t="s">
        <v>11</v>
      </c>
      <c r="J6" s="295"/>
      <c r="K6" s="296"/>
      <c r="L6" s="312" t="s">
        <v>11</v>
      </c>
      <c r="M6" s="313" t="s">
        <v>20</v>
      </c>
      <c r="N6" s="301"/>
      <c r="O6" s="314" t="s">
        <v>20</v>
      </c>
      <c r="P6" s="315"/>
      <c r="Q6" s="315"/>
      <c r="R6" s="312" t="s">
        <v>188</v>
      </c>
      <c r="S6" s="313" t="s">
        <v>20</v>
      </c>
      <c r="T6" s="277" t="s">
        <v>39</v>
      </c>
      <c r="U6" s="275" t="s">
        <v>20</v>
      </c>
      <c r="V6" s="276" t="s">
        <v>20</v>
      </c>
      <c r="W6" s="277"/>
      <c r="X6" s="277" t="s">
        <v>393</v>
      </c>
      <c r="Y6" s="277" t="s">
        <v>394</v>
      </c>
      <c r="Z6" s="275" t="s">
        <v>11</v>
      </c>
      <c r="AA6" s="276" t="s">
        <v>11</v>
      </c>
    </row>
    <row r="7" spans="3:27" x14ac:dyDescent="0.45">
      <c r="C7" s="272" t="s">
        <v>28</v>
      </c>
      <c r="D7" s="273" t="s">
        <v>20</v>
      </c>
      <c r="H7" s="282" t="s">
        <v>20</v>
      </c>
      <c r="I7" s="273" t="s">
        <v>28</v>
      </c>
      <c r="J7" s="297"/>
      <c r="K7" s="298"/>
      <c r="L7" s="272" t="s">
        <v>28</v>
      </c>
      <c r="M7" s="283" t="s">
        <v>11</v>
      </c>
      <c r="N7" s="301"/>
      <c r="O7" s="306" t="s">
        <v>20</v>
      </c>
      <c r="P7" s="307" t="s">
        <v>28</v>
      </c>
      <c r="Q7" s="292"/>
      <c r="R7" s="308" t="s">
        <v>28</v>
      </c>
      <c r="S7" s="309" t="s">
        <v>11</v>
      </c>
      <c r="U7" s="272" t="s">
        <v>28</v>
      </c>
      <c r="V7" s="273" t="s">
        <v>28</v>
      </c>
      <c r="X7" s="271" t="s">
        <v>396</v>
      </c>
    </row>
    <row r="8" spans="3:27" x14ac:dyDescent="0.45">
      <c r="C8" s="272" t="s">
        <v>11</v>
      </c>
      <c r="D8" s="273" t="s">
        <v>20</v>
      </c>
      <c r="H8" s="282" t="s">
        <v>20</v>
      </c>
      <c r="I8" s="273" t="s">
        <v>28</v>
      </c>
      <c r="J8" s="297"/>
      <c r="K8" s="298"/>
      <c r="L8" s="272" t="s">
        <v>28</v>
      </c>
      <c r="M8" s="283" t="s">
        <v>20</v>
      </c>
      <c r="N8" s="301"/>
      <c r="O8" s="290" t="s">
        <v>20</v>
      </c>
      <c r="P8" s="291" t="s">
        <v>28</v>
      </c>
      <c r="Q8" s="292"/>
      <c r="R8" s="293" t="s">
        <v>28</v>
      </c>
      <c r="S8" s="294" t="s">
        <v>20</v>
      </c>
      <c r="U8" s="272" t="s">
        <v>28</v>
      </c>
      <c r="V8" s="273" t="s">
        <v>28</v>
      </c>
      <c r="X8" s="271" t="s">
        <v>397</v>
      </c>
    </row>
    <row r="9" spans="3:27" x14ac:dyDescent="0.45">
      <c r="H9" s="282" t="s">
        <v>11</v>
      </c>
      <c r="I9" s="273" t="s">
        <v>28</v>
      </c>
      <c r="J9" s="297"/>
      <c r="K9" s="298"/>
      <c r="L9" s="272" t="s">
        <v>28</v>
      </c>
      <c r="M9" s="283" t="s">
        <v>11</v>
      </c>
      <c r="N9" s="301"/>
      <c r="O9" s="290" t="s">
        <v>11</v>
      </c>
      <c r="P9" s="291" t="s">
        <v>28</v>
      </c>
      <c r="Q9" s="292"/>
      <c r="R9" s="293" t="s">
        <v>28</v>
      </c>
      <c r="S9" s="294" t="s">
        <v>11</v>
      </c>
      <c r="T9" s="271" t="s">
        <v>39</v>
      </c>
      <c r="U9" s="272" t="s">
        <v>28</v>
      </c>
      <c r="V9" s="273" t="s">
        <v>28</v>
      </c>
      <c r="X9" s="271" t="s">
        <v>395</v>
      </c>
    </row>
    <row r="10" spans="3:27" ht="18.600000000000001" thickBot="1" x14ac:dyDescent="0.5">
      <c r="H10" s="282" t="s">
        <v>11</v>
      </c>
      <c r="I10" s="273" t="s">
        <v>28</v>
      </c>
      <c r="J10" s="297"/>
      <c r="K10" s="298"/>
      <c r="L10" s="272" t="s">
        <v>28</v>
      </c>
      <c r="M10" s="283" t="s">
        <v>20</v>
      </c>
      <c r="N10" s="301"/>
      <c r="O10" s="290" t="s">
        <v>11</v>
      </c>
      <c r="P10" s="291" t="s">
        <v>28</v>
      </c>
      <c r="Q10" s="292"/>
      <c r="R10" s="293" t="s">
        <v>28</v>
      </c>
      <c r="S10" s="294" t="s">
        <v>20</v>
      </c>
      <c r="U10" s="272" t="s">
        <v>28</v>
      </c>
      <c r="V10" s="273" t="s">
        <v>28</v>
      </c>
      <c r="X10" s="271" t="s">
        <v>396</v>
      </c>
    </row>
    <row r="11" spans="3:27" x14ac:dyDescent="0.45">
      <c r="H11" s="302" t="s">
        <v>20</v>
      </c>
      <c r="I11" s="303" t="s">
        <v>11</v>
      </c>
      <c r="J11" s="297" t="s">
        <v>392</v>
      </c>
      <c r="K11" s="298"/>
      <c r="L11" s="304" t="s">
        <v>28</v>
      </c>
      <c r="M11" s="305" t="s">
        <v>11</v>
      </c>
      <c r="N11" s="301" t="s">
        <v>39</v>
      </c>
      <c r="O11" s="278" t="s">
        <v>20</v>
      </c>
      <c r="P11" s="279" t="s">
        <v>11</v>
      </c>
      <c r="Q11" s="288"/>
      <c r="R11" s="280" t="s">
        <v>28</v>
      </c>
      <c r="S11" s="281" t="s">
        <v>11</v>
      </c>
      <c r="U11" s="271" t="s">
        <v>398</v>
      </c>
      <c r="W11" s="271" t="s">
        <v>39</v>
      </c>
      <c r="X11" s="271" t="s">
        <v>136</v>
      </c>
    </row>
    <row r="12" spans="3:27" x14ac:dyDescent="0.45">
      <c r="H12" s="282" t="s">
        <v>20</v>
      </c>
      <c r="I12" s="273" t="s">
        <v>11</v>
      </c>
      <c r="J12" s="297"/>
      <c r="K12" s="298"/>
      <c r="L12" s="272" t="s">
        <v>28</v>
      </c>
      <c r="M12" s="283" t="s">
        <v>20</v>
      </c>
      <c r="N12" s="301"/>
      <c r="O12" s="282" t="s">
        <v>20</v>
      </c>
      <c r="P12" s="273" t="s">
        <v>11</v>
      </c>
      <c r="Q12" s="274"/>
      <c r="R12" s="272" t="s">
        <v>28</v>
      </c>
      <c r="S12" s="283" t="s">
        <v>20</v>
      </c>
      <c r="U12" s="271" t="s">
        <v>398</v>
      </c>
      <c r="W12" s="271" t="s">
        <v>39</v>
      </c>
      <c r="X12" s="271" t="s">
        <v>136</v>
      </c>
    </row>
    <row r="13" spans="3:27" x14ac:dyDescent="0.45">
      <c r="H13" s="282" t="s">
        <v>20</v>
      </c>
      <c r="I13" s="273" t="s">
        <v>28</v>
      </c>
      <c r="J13" s="297"/>
      <c r="K13" s="298"/>
      <c r="L13" s="272" t="s">
        <v>11</v>
      </c>
      <c r="M13" s="283" t="s">
        <v>20</v>
      </c>
      <c r="N13" s="301"/>
      <c r="O13" s="282" t="s">
        <v>20</v>
      </c>
      <c r="P13" s="273" t="s">
        <v>28</v>
      </c>
      <c r="Q13" s="274"/>
      <c r="R13" s="272" t="s">
        <v>11</v>
      </c>
      <c r="S13" s="283" t="s">
        <v>20</v>
      </c>
      <c r="U13" s="271" t="s">
        <v>398</v>
      </c>
      <c r="W13" s="271" t="s">
        <v>39</v>
      </c>
      <c r="X13" s="271" t="s">
        <v>136</v>
      </c>
    </row>
    <row r="14" spans="3:27" ht="18.600000000000001" thickBot="1" x14ac:dyDescent="0.5">
      <c r="H14" s="284" t="s">
        <v>11</v>
      </c>
      <c r="I14" s="285" t="s">
        <v>28</v>
      </c>
      <c r="J14" s="299"/>
      <c r="K14" s="300"/>
      <c r="L14" s="286" t="s">
        <v>11</v>
      </c>
      <c r="M14" s="287" t="s">
        <v>20</v>
      </c>
      <c r="N14" s="301"/>
      <c r="O14" s="284" t="s">
        <v>11</v>
      </c>
      <c r="P14" s="285" t="s">
        <v>28</v>
      </c>
      <c r="Q14" s="289"/>
      <c r="R14" s="286" t="s">
        <v>11</v>
      </c>
      <c r="S14" s="287" t="s">
        <v>20</v>
      </c>
      <c r="U14" s="271" t="s">
        <v>398</v>
      </c>
      <c r="W14" s="271" t="s">
        <v>39</v>
      </c>
      <c r="X14" s="271" t="s">
        <v>136</v>
      </c>
    </row>
    <row r="17" spans="8:29" x14ac:dyDescent="0.45">
      <c r="H17" s="271" t="s">
        <v>11</v>
      </c>
      <c r="I17" s="271" t="s">
        <v>40</v>
      </c>
      <c r="J17" s="271" t="s">
        <v>20</v>
      </c>
      <c r="K17" s="271" t="s">
        <v>39</v>
      </c>
      <c r="L17" s="271" t="s">
        <v>136</v>
      </c>
    </row>
    <row r="18" spans="8:29" x14ac:dyDescent="0.45">
      <c r="H18" s="271">
        <v>35</v>
      </c>
      <c r="I18" s="271" t="s">
        <v>40</v>
      </c>
      <c r="J18" s="271">
        <v>53</v>
      </c>
      <c r="K18" s="271" t="s">
        <v>39</v>
      </c>
      <c r="L18" s="272">
        <v>88</v>
      </c>
      <c r="M18" s="319" t="s">
        <v>39</v>
      </c>
      <c r="N18" s="319">
        <v>44</v>
      </c>
      <c r="O18" s="319" t="s">
        <v>40</v>
      </c>
      <c r="P18" s="327">
        <v>44</v>
      </c>
      <c r="Q18" s="316"/>
      <c r="R18" s="318">
        <v>44</v>
      </c>
      <c r="S18" s="319" t="s">
        <v>40</v>
      </c>
      <c r="T18" s="320">
        <v>6</v>
      </c>
      <c r="U18" s="319" t="s">
        <v>40</v>
      </c>
      <c r="V18" s="321">
        <v>3</v>
      </c>
      <c r="W18" s="319" t="s">
        <v>39</v>
      </c>
      <c r="X18" s="273">
        <v>53</v>
      </c>
      <c r="AA18" s="316"/>
      <c r="AB18" s="316"/>
      <c r="AC18" s="316"/>
    </row>
    <row r="19" spans="8:29" x14ac:dyDescent="0.45">
      <c r="L19" s="272">
        <v>44</v>
      </c>
      <c r="M19" s="319" t="s">
        <v>39</v>
      </c>
      <c r="N19" s="328">
        <v>22</v>
      </c>
      <c r="O19" s="319" t="s">
        <v>40</v>
      </c>
      <c r="P19" s="329">
        <v>22</v>
      </c>
      <c r="R19" s="322">
        <v>22</v>
      </c>
      <c r="S19" s="319" t="s">
        <v>40</v>
      </c>
      <c r="T19" s="323">
        <v>11</v>
      </c>
      <c r="U19" s="319" t="s">
        <v>40</v>
      </c>
      <c r="V19" s="321">
        <v>2</v>
      </c>
      <c r="W19" s="319" t="s">
        <v>39</v>
      </c>
      <c r="X19" s="273">
        <v>35</v>
      </c>
    </row>
    <row r="20" spans="8:29" x14ac:dyDescent="0.45">
      <c r="L20" s="272">
        <v>22</v>
      </c>
      <c r="M20" s="319" t="s">
        <v>39</v>
      </c>
      <c r="N20" s="328">
        <v>11</v>
      </c>
      <c r="O20" s="319" t="s">
        <v>40</v>
      </c>
      <c r="P20" s="330">
        <v>11</v>
      </c>
    </row>
    <row r="21" spans="8:29" x14ac:dyDescent="0.45">
      <c r="L21" s="272">
        <v>11</v>
      </c>
      <c r="M21" s="319" t="s">
        <v>39</v>
      </c>
      <c r="N21" s="319">
        <v>5</v>
      </c>
      <c r="O21" s="319" t="s">
        <v>40</v>
      </c>
      <c r="P21" s="291">
        <v>6</v>
      </c>
    </row>
    <row r="22" spans="8:29" x14ac:dyDescent="0.45">
      <c r="L22" s="304">
        <v>5</v>
      </c>
      <c r="M22" s="324" t="s">
        <v>39</v>
      </c>
      <c r="N22" s="325">
        <v>2</v>
      </c>
      <c r="O22" s="324" t="s">
        <v>40</v>
      </c>
      <c r="P22" s="326">
        <v>3</v>
      </c>
    </row>
    <row r="24" spans="8:29" x14ac:dyDescent="0.45">
      <c r="K24" s="316"/>
      <c r="Q24" s="316"/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6FA81-3DA3-448F-943E-6A9BE3FA7DC5}">
  <dimension ref="E2:W21"/>
  <sheetViews>
    <sheetView workbookViewId="0">
      <selection activeCell="W5" sqref="W5"/>
    </sheetView>
  </sheetViews>
  <sheetFormatPr defaultColWidth="3.296875" defaultRowHeight="18" x14ac:dyDescent="0.45"/>
  <cols>
    <col min="1" max="4" width="3.296875" style="269"/>
    <col min="5" max="7" width="4.3984375" style="269" bestFit="1" customWidth="1"/>
    <col min="8" max="11" width="3.296875" style="269"/>
    <col min="12" max="12" width="4.3984375" style="269" bestFit="1" customWidth="1"/>
    <col min="13" max="22" width="3.296875" style="269"/>
    <col min="23" max="23" width="4.3984375" style="269" bestFit="1" customWidth="1"/>
    <col min="24" max="16384" width="3.296875" style="269"/>
  </cols>
  <sheetData>
    <row r="2" spans="5:23" x14ac:dyDescent="0.45">
      <c r="F2" s="269" t="s">
        <v>389</v>
      </c>
      <c r="L2" s="269" t="s">
        <v>390</v>
      </c>
    </row>
    <row r="4" spans="5:23" x14ac:dyDescent="0.45">
      <c r="F4" s="269">
        <v>68</v>
      </c>
      <c r="G4" s="416">
        <f>F4+F5</f>
        <v>153</v>
      </c>
      <c r="L4" s="270" t="s">
        <v>391</v>
      </c>
      <c r="S4" s="269">
        <v>8</v>
      </c>
      <c r="T4" s="269">
        <v>16</v>
      </c>
      <c r="U4" s="269">
        <v>32</v>
      </c>
      <c r="V4" s="269">
        <v>64</v>
      </c>
      <c r="W4" s="269">
        <v>128</v>
      </c>
    </row>
    <row r="5" spans="5:23" x14ac:dyDescent="0.45">
      <c r="E5" s="416">
        <f>F5+F6</f>
        <v>159</v>
      </c>
      <c r="F5" s="269">
        <v>85</v>
      </c>
      <c r="G5" s="416"/>
    </row>
    <row r="6" spans="5:23" x14ac:dyDescent="0.45">
      <c r="E6" s="416"/>
      <c r="F6" s="269">
        <v>74</v>
      </c>
    </row>
    <row r="10" spans="5:23" x14ac:dyDescent="0.45">
      <c r="F10" s="269">
        <v>68</v>
      </c>
      <c r="G10" s="269" t="s">
        <v>39</v>
      </c>
      <c r="H10" s="269">
        <f>F10/2</f>
        <v>34</v>
      </c>
      <c r="I10" s="269" t="s">
        <v>40</v>
      </c>
      <c r="J10" s="269">
        <f t="shared" ref="J10:J11" si="0">ROUNDDOWN(F10-H10,0)</f>
        <v>34</v>
      </c>
      <c r="L10" s="269">
        <v>85</v>
      </c>
      <c r="M10" s="269" t="s">
        <v>39</v>
      </c>
      <c r="N10" s="269">
        <f t="shared" ref="N10:N16" si="1">L10/2</f>
        <v>42.5</v>
      </c>
      <c r="O10" s="269" t="s">
        <v>40</v>
      </c>
      <c r="P10" s="269">
        <f t="shared" ref="P10:P16" si="2">ROUNDDOWN(L10-N10,0)</f>
        <v>42</v>
      </c>
      <c r="R10" s="269">
        <v>74</v>
      </c>
      <c r="S10" s="269" t="s">
        <v>39</v>
      </c>
      <c r="T10" s="269">
        <f>R10/2</f>
        <v>37</v>
      </c>
      <c r="U10" s="269" t="s">
        <v>40</v>
      </c>
      <c r="V10" s="269">
        <f>ROUNDDOWN(R10-T10,0)</f>
        <v>37</v>
      </c>
    </row>
    <row r="11" spans="5:23" x14ac:dyDescent="0.45">
      <c r="F11" s="269">
        <v>34</v>
      </c>
      <c r="G11" s="269" t="s">
        <v>39</v>
      </c>
      <c r="H11" s="269">
        <f>F11/2</f>
        <v>17</v>
      </c>
      <c r="I11" s="269" t="s">
        <v>40</v>
      </c>
      <c r="J11" s="269">
        <f t="shared" si="0"/>
        <v>17</v>
      </c>
      <c r="L11" s="269">
        <v>43</v>
      </c>
      <c r="M11" s="269" t="s">
        <v>39</v>
      </c>
      <c r="N11" s="269">
        <f t="shared" si="1"/>
        <v>21.5</v>
      </c>
      <c r="O11" s="269" t="s">
        <v>40</v>
      </c>
      <c r="P11" s="269">
        <f t="shared" si="2"/>
        <v>21</v>
      </c>
      <c r="R11" s="269">
        <v>37</v>
      </c>
      <c r="S11" s="269" t="s">
        <v>39</v>
      </c>
      <c r="T11" s="269">
        <f>R11/2</f>
        <v>18.5</v>
      </c>
      <c r="U11" s="269" t="s">
        <v>40</v>
      </c>
      <c r="V11" s="269">
        <f>ROUNDDOWN(R11-T11,0)</f>
        <v>18</v>
      </c>
    </row>
    <row r="12" spans="5:23" x14ac:dyDescent="0.45">
      <c r="F12" s="269">
        <v>17</v>
      </c>
      <c r="G12" s="269" t="s">
        <v>39</v>
      </c>
      <c r="H12" s="269">
        <f>F12/2</f>
        <v>8.5</v>
      </c>
      <c r="I12" s="269" t="s">
        <v>40</v>
      </c>
      <c r="J12" s="269">
        <f>ROUNDDOWN(F12-H12,0)</f>
        <v>8</v>
      </c>
      <c r="L12" s="269">
        <v>42</v>
      </c>
      <c r="M12" s="269" t="s">
        <v>39</v>
      </c>
      <c r="N12" s="269">
        <f t="shared" si="1"/>
        <v>21</v>
      </c>
      <c r="O12" s="269" t="s">
        <v>40</v>
      </c>
      <c r="P12" s="269">
        <f t="shared" si="2"/>
        <v>21</v>
      </c>
      <c r="R12" s="269">
        <v>19</v>
      </c>
      <c r="S12" s="269" t="s">
        <v>39</v>
      </c>
      <c r="T12" s="269">
        <f>R12/2</f>
        <v>9.5</v>
      </c>
      <c r="U12" s="269" t="s">
        <v>40</v>
      </c>
      <c r="V12" s="269">
        <f>ROUNDDOWN(R12-T12,0)</f>
        <v>9</v>
      </c>
    </row>
    <row r="13" spans="5:23" x14ac:dyDescent="0.45">
      <c r="F13" s="269">
        <v>9</v>
      </c>
      <c r="G13" s="269" t="s">
        <v>39</v>
      </c>
      <c r="H13" s="269">
        <f>F13/2</f>
        <v>4.5</v>
      </c>
      <c r="I13" s="269" t="s">
        <v>40</v>
      </c>
      <c r="J13" s="269">
        <f>ROUNDDOWN(F13-H13,0)</f>
        <v>4</v>
      </c>
      <c r="L13" s="269">
        <v>22</v>
      </c>
      <c r="M13" s="269" t="s">
        <v>39</v>
      </c>
      <c r="N13" s="269">
        <f t="shared" si="1"/>
        <v>11</v>
      </c>
      <c r="O13" s="269" t="s">
        <v>40</v>
      </c>
      <c r="P13" s="269">
        <f t="shared" si="2"/>
        <v>11</v>
      </c>
      <c r="R13" s="269">
        <v>18</v>
      </c>
      <c r="S13" s="269" t="s">
        <v>39</v>
      </c>
      <c r="T13" s="269">
        <f>R13/2</f>
        <v>9</v>
      </c>
      <c r="U13" s="269" t="s">
        <v>40</v>
      </c>
      <c r="V13" s="269">
        <f>ROUNDDOWN(R13-T13,0)</f>
        <v>9</v>
      </c>
    </row>
    <row r="14" spans="5:23" x14ac:dyDescent="0.45">
      <c r="L14" s="269">
        <v>21</v>
      </c>
      <c r="M14" s="269" t="s">
        <v>39</v>
      </c>
      <c r="N14" s="269">
        <f t="shared" si="1"/>
        <v>10.5</v>
      </c>
      <c r="O14" s="269" t="s">
        <v>40</v>
      </c>
      <c r="P14" s="269">
        <f t="shared" si="2"/>
        <v>10</v>
      </c>
    </row>
    <row r="15" spans="5:23" x14ac:dyDescent="0.45">
      <c r="L15" s="269">
        <v>11</v>
      </c>
      <c r="M15" s="269" t="s">
        <v>39</v>
      </c>
      <c r="N15" s="269">
        <f t="shared" si="1"/>
        <v>5.5</v>
      </c>
      <c r="O15" s="269" t="s">
        <v>40</v>
      </c>
      <c r="P15" s="269">
        <f t="shared" si="2"/>
        <v>5</v>
      </c>
    </row>
    <row r="16" spans="5:23" x14ac:dyDescent="0.45">
      <c r="L16" s="269">
        <v>10</v>
      </c>
      <c r="M16" s="269" t="s">
        <v>39</v>
      </c>
      <c r="N16" s="269">
        <f t="shared" si="1"/>
        <v>5</v>
      </c>
      <c r="O16" s="269" t="s">
        <v>40</v>
      </c>
      <c r="P16" s="269">
        <f t="shared" si="2"/>
        <v>5</v>
      </c>
    </row>
    <row r="18" spans="6:10" x14ac:dyDescent="0.45">
      <c r="F18" s="269">
        <v>142</v>
      </c>
      <c r="G18" s="269" t="s">
        <v>39</v>
      </c>
      <c r="H18" s="269">
        <f>F18/2</f>
        <v>71</v>
      </c>
      <c r="I18" s="269" t="s">
        <v>40</v>
      </c>
      <c r="J18" s="269">
        <f t="shared" ref="J18:J19" si="3">ROUNDDOWN(F18-H18,0)</f>
        <v>71</v>
      </c>
    </row>
    <row r="19" spans="6:10" x14ac:dyDescent="0.45">
      <c r="F19" s="269">
        <v>71</v>
      </c>
      <c r="G19" s="269" t="s">
        <v>39</v>
      </c>
      <c r="H19" s="269">
        <f>F19/2</f>
        <v>35.5</v>
      </c>
      <c r="I19" s="269" t="s">
        <v>40</v>
      </c>
      <c r="J19" s="269">
        <f t="shared" si="3"/>
        <v>35</v>
      </c>
    </row>
    <row r="20" spans="6:10" x14ac:dyDescent="0.45">
      <c r="F20" s="269">
        <v>36</v>
      </c>
      <c r="G20" s="269" t="s">
        <v>39</v>
      </c>
      <c r="H20" s="269">
        <f>F20/2</f>
        <v>18</v>
      </c>
      <c r="I20" s="269" t="s">
        <v>40</v>
      </c>
      <c r="J20" s="269">
        <f>ROUNDDOWN(F20-H20,0)</f>
        <v>18</v>
      </c>
    </row>
    <row r="21" spans="6:10" x14ac:dyDescent="0.45">
      <c r="F21" s="269">
        <v>18</v>
      </c>
      <c r="G21" s="269" t="s">
        <v>39</v>
      </c>
      <c r="H21" s="269">
        <f>F21/2</f>
        <v>9</v>
      </c>
      <c r="I21" s="269" t="s">
        <v>40</v>
      </c>
      <c r="J21" s="269">
        <f>ROUNDDOWN(F21-H21,0)</f>
        <v>9</v>
      </c>
    </row>
  </sheetData>
  <mergeCells count="2">
    <mergeCell ref="G4:G5"/>
    <mergeCell ref="E5:E6"/>
  </mergeCells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A7A0A-C5FA-4A78-B55F-1A3883FB3676}">
  <dimension ref="F4:P9"/>
  <sheetViews>
    <sheetView workbookViewId="0"/>
  </sheetViews>
  <sheetFormatPr defaultColWidth="3.296875" defaultRowHeight="18" x14ac:dyDescent="0.45"/>
  <cols>
    <col min="1" max="11" width="3.296875" style="269"/>
    <col min="12" max="12" width="4.3984375" style="269" bestFit="1" customWidth="1"/>
    <col min="13" max="16384" width="3.296875" style="269"/>
  </cols>
  <sheetData>
    <row r="4" spans="6:16" x14ac:dyDescent="0.45">
      <c r="F4" s="269">
        <v>15</v>
      </c>
      <c r="G4" s="269" t="s">
        <v>40</v>
      </c>
      <c r="H4" s="269">
        <v>8</v>
      </c>
      <c r="I4" s="269" t="s">
        <v>91</v>
      </c>
      <c r="J4" s="269">
        <v>4</v>
      </c>
      <c r="K4" s="269" t="s">
        <v>39</v>
      </c>
      <c r="L4" s="269">
        <f>F4+H4*J4</f>
        <v>47</v>
      </c>
      <c r="M4" s="269" t="s">
        <v>39</v>
      </c>
      <c r="N4" s="269">
        <v>24</v>
      </c>
      <c r="O4" s="269" t="s">
        <v>40</v>
      </c>
      <c r="P4" s="269">
        <v>23</v>
      </c>
    </row>
    <row r="6" spans="6:16" x14ac:dyDescent="0.45">
      <c r="F6" s="269">
        <v>24</v>
      </c>
      <c r="G6" s="269" t="s">
        <v>39</v>
      </c>
      <c r="H6" s="269">
        <v>12</v>
      </c>
      <c r="I6" s="269" t="s">
        <v>40</v>
      </c>
      <c r="J6" s="269">
        <v>12</v>
      </c>
    </row>
    <row r="7" spans="6:16" x14ac:dyDescent="0.45">
      <c r="F7" s="269">
        <v>23</v>
      </c>
      <c r="G7" s="269" t="s">
        <v>39</v>
      </c>
      <c r="H7" s="269">
        <v>12</v>
      </c>
      <c r="I7" s="269" t="s">
        <v>40</v>
      </c>
      <c r="J7" s="269">
        <v>11</v>
      </c>
    </row>
    <row r="8" spans="6:16" x14ac:dyDescent="0.45">
      <c r="F8" s="269">
        <v>12</v>
      </c>
      <c r="G8" s="269" t="s">
        <v>39</v>
      </c>
      <c r="H8" s="269">
        <v>6</v>
      </c>
      <c r="I8" s="269" t="s">
        <v>40</v>
      </c>
      <c r="J8" s="269">
        <v>6</v>
      </c>
    </row>
    <row r="9" spans="6:16" x14ac:dyDescent="0.45">
      <c r="F9" s="269">
        <v>11</v>
      </c>
      <c r="G9" s="269" t="s">
        <v>39</v>
      </c>
      <c r="H9" s="269">
        <v>6</v>
      </c>
      <c r="I9" s="269" t="s">
        <v>40</v>
      </c>
      <c r="J9" s="269">
        <v>5</v>
      </c>
    </row>
  </sheetData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4BA0A-3C6A-4D4D-851D-FFDCBDC0C289}">
  <dimension ref="H4:T15"/>
  <sheetViews>
    <sheetView workbookViewId="0"/>
  </sheetViews>
  <sheetFormatPr defaultColWidth="3.296875" defaultRowHeight="18" x14ac:dyDescent="0.45"/>
  <cols>
    <col min="1" max="11" width="3.296875" style="269"/>
    <col min="12" max="12" width="4.3984375" style="269" bestFit="1" customWidth="1"/>
    <col min="13" max="16384" width="3.296875" style="269"/>
  </cols>
  <sheetData>
    <row r="4" spans="8:20" x14ac:dyDescent="0.45">
      <c r="H4" s="269">
        <v>26</v>
      </c>
      <c r="I4" s="269" t="s">
        <v>91</v>
      </c>
      <c r="J4" s="269">
        <v>6</v>
      </c>
      <c r="K4" s="269" t="s">
        <v>39</v>
      </c>
      <c r="L4" s="269">
        <f>H4*J4</f>
        <v>156</v>
      </c>
      <c r="M4" s="269" t="s">
        <v>39</v>
      </c>
      <c r="N4" s="269">
        <v>78</v>
      </c>
      <c r="O4" s="269" t="s">
        <v>91</v>
      </c>
      <c r="P4" s="269">
        <v>2</v>
      </c>
      <c r="Q4" s="269" t="s">
        <v>39</v>
      </c>
      <c r="R4" s="269">
        <v>39</v>
      </c>
      <c r="S4" s="269" t="s">
        <v>91</v>
      </c>
      <c r="T4" s="269">
        <v>4</v>
      </c>
    </row>
    <row r="5" spans="8:20" x14ac:dyDescent="0.45">
      <c r="I5" s="269" t="s">
        <v>39</v>
      </c>
      <c r="J5" s="269">
        <v>13</v>
      </c>
      <c r="K5" s="269" t="s">
        <v>40</v>
      </c>
      <c r="L5" s="269">
        <v>13</v>
      </c>
      <c r="Q5" s="269" t="s">
        <v>39</v>
      </c>
      <c r="R5" s="269">
        <v>6</v>
      </c>
      <c r="S5" s="269" t="s">
        <v>91</v>
      </c>
      <c r="T5" s="269">
        <v>12</v>
      </c>
    </row>
    <row r="7" spans="8:20" x14ac:dyDescent="0.45">
      <c r="H7" s="269">
        <v>13</v>
      </c>
      <c r="I7" s="269" t="s">
        <v>39</v>
      </c>
      <c r="J7" s="269">
        <v>7</v>
      </c>
      <c r="K7" s="269" t="s">
        <v>40</v>
      </c>
      <c r="L7" s="269">
        <v>6</v>
      </c>
    </row>
    <row r="15" spans="8:20" x14ac:dyDescent="0.45">
      <c r="H15" s="269">
        <v>45</v>
      </c>
      <c r="I15" s="269" t="s">
        <v>39</v>
      </c>
      <c r="J15" s="269">
        <v>39</v>
      </c>
      <c r="K15" s="269" t="s">
        <v>40</v>
      </c>
      <c r="L15" s="269">
        <v>6</v>
      </c>
    </row>
  </sheetData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2E64-B63E-4419-A863-46B6BAC52E57}">
  <dimension ref="B2:AE36"/>
  <sheetViews>
    <sheetView showGridLines="0" workbookViewId="0">
      <selection activeCell="Q19" sqref="Q19"/>
    </sheetView>
  </sheetViews>
  <sheetFormatPr defaultColWidth="5" defaultRowHeight="22.2" x14ac:dyDescent="0.45"/>
  <cols>
    <col min="1" max="3" width="5" style="144"/>
    <col min="4" max="5" width="5" style="144" customWidth="1"/>
    <col min="6" max="6" width="5" style="144"/>
    <col min="7" max="8" width="5" style="144" customWidth="1"/>
    <col min="9" max="13" width="5" style="144"/>
    <col min="14" max="14" width="5" style="144" customWidth="1"/>
    <col min="15" max="15" width="5" style="144"/>
    <col min="16" max="21" width="5" style="144" customWidth="1"/>
    <col min="22" max="16384" width="5" style="144"/>
  </cols>
  <sheetData>
    <row r="2" spans="2:27" ht="24.6" x14ac:dyDescent="0.45">
      <c r="B2" s="198" t="s">
        <v>218</v>
      </c>
      <c r="D2" s="144" t="s">
        <v>238</v>
      </c>
    </row>
    <row r="3" spans="2:27" x14ac:dyDescent="0.45">
      <c r="D3" s="200" t="s">
        <v>226</v>
      </c>
      <c r="E3" s="210" t="s">
        <v>227</v>
      </c>
      <c r="F3" s="201" t="s">
        <v>226</v>
      </c>
      <c r="G3" s="144" t="s">
        <v>39</v>
      </c>
      <c r="H3" s="198" t="s">
        <v>228</v>
      </c>
      <c r="N3" s="198" t="s">
        <v>220</v>
      </c>
      <c r="P3" s="144" t="s">
        <v>39</v>
      </c>
      <c r="Q3" s="198" t="s">
        <v>223</v>
      </c>
    </row>
    <row r="4" spans="2:27" ht="24.6" x14ac:dyDescent="0.45">
      <c r="D4" s="207" t="s">
        <v>226</v>
      </c>
      <c r="E4" s="208" t="s">
        <v>227</v>
      </c>
      <c r="F4" s="209" t="s">
        <v>226</v>
      </c>
      <c r="G4" s="144" t="s">
        <v>39</v>
      </c>
      <c r="H4" s="198" t="s">
        <v>229</v>
      </c>
      <c r="K4" s="198"/>
      <c r="N4" s="198" t="s">
        <v>221</v>
      </c>
      <c r="P4" s="144" t="s">
        <v>39</v>
      </c>
      <c r="Q4" s="198" t="s">
        <v>224</v>
      </c>
      <c r="T4" s="144" t="s">
        <v>39</v>
      </c>
      <c r="U4" s="144" t="s">
        <v>239</v>
      </c>
    </row>
    <row r="5" spans="2:27" ht="24.6" x14ac:dyDescent="0.45">
      <c r="D5" s="197"/>
      <c r="E5" s="197"/>
      <c r="F5" s="197"/>
      <c r="G5" s="144" t="s">
        <v>39</v>
      </c>
      <c r="H5" s="198" t="s">
        <v>230</v>
      </c>
      <c r="K5" s="198"/>
      <c r="N5" s="198" t="s">
        <v>222</v>
      </c>
      <c r="P5" s="144" t="s">
        <v>39</v>
      </c>
      <c r="Q5" s="198" t="s">
        <v>225</v>
      </c>
      <c r="T5" s="144" t="s">
        <v>39</v>
      </c>
      <c r="U5" s="198" t="s">
        <v>247</v>
      </c>
    </row>
    <row r="6" spans="2:27" ht="24.6" x14ac:dyDescent="0.45">
      <c r="D6" s="144" t="s">
        <v>239</v>
      </c>
      <c r="K6" s="198"/>
    </row>
    <row r="7" spans="2:27" x14ac:dyDescent="0.45">
      <c r="D7" s="200" t="s">
        <v>226</v>
      </c>
      <c r="E7" s="210" t="s">
        <v>227</v>
      </c>
      <c r="F7" s="201" t="s">
        <v>226</v>
      </c>
      <c r="G7" s="144" t="s">
        <v>39</v>
      </c>
      <c r="H7" s="198" t="s">
        <v>231</v>
      </c>
    </row>
    <row r="8" spans="2:27" x14ac:dyDescent="0.45">
      <c r="D8" s="197"/>
      <c r="E8" s="197"/>
      <c r="F8" s="197"/>
      <c r="G8" s="144" t="s">
        <v>39</v>
      </c>
      <c r="H8" s="198" t="s">
        <v>232</v>
      </c>
      <c r="K8" s="198"/>
    </row>
    <row r="9" spans="2:27" x14ac:dyDescent="0.45">
      <c r="G9" s="144" t="s">
        <v>39</v>
      </c>
      <c r="H9" s="198" t="s">
        <v>224</v>
      </c>
    </row>
    <row r="11" spans="2:27" ht="24.6" x14ac:dyDescent="0.45">
      <c r="B11" s="144" t="s">
        <v>219</v>
      </c>
      <c r="D11" s="198" t="s">
        <v>240</v>
      </c>
    </row>
    <row r="12" spans="2:27" ht="24.6" x14ac:dyDescent="0.45">
      <c r="D12" s="200" t="s">
        <v>215</v>
      </c>
      <c r="E12" s="199" t="s">
        <v>216</v>
      </c>
      <c r="F12" s="199" t="s">
        <v>216</v>
      </c>
      <c r="G12" s="201" t="s">
        <v>215</v>
      </c>
      <c r="H12" s="144" t="s">
        <v>39</v>
      </c>
      <c r="I12" s="198" t="s">
        <v>233</v>
      </c>
      <c r="V12" s="144" t="s">
        <v>241</v>
      </c>
      <c r="W12" s="198" t="s">
        <v>240</v>
      </c>
      <c r="Z12" s="144" t="s">
        <v>39</v>
      </c>
      <c r="AA12" s="198" t="s">
        <v>242</v>
      </c>
    </row>
    <row r="13" spans="2:27" ht="24.6" x14ac:dyDescent="0.45">
      <c r="D13" s="202" t="s">
        <v>214</v>
      </c>
      <c r="E13" s="203" t="s">
        <v>216</v>
      </c>
      <c r="F13" s="203" t="s">
        <v>216</v>
      </c>
      <c r="G13" s="204" t="s">
        <v>214</v>
      </c>
      <c r="H13" s="144" t="s">
        <v>39</v>
      </c>
      <c r="I13" s="198" t="s">
        <v>234</v>
      </c>
      <c r="Z13" s="144" t="s">
        <v>39</v>
      </c>
      <c r="AA13" s="198" t="s">
        <v>243</v>
      </c>
    </row>
    <row r="14" spans="2:27" ht="24.6" x14ac:dyDescent="0.45">
      <c r="D14" s="205"/>
      <c r="E14" s="203" t="s">
        <v>216</v>
      </c>
      <c r="F14" s="203" t="s">
        <v>216</v>
      </c>
      <c r="G14" s="206"/>
      <c r="H14" s="144" t="s">
        <v>39</v>
      </c>
      <c r="I14" s="198" t="s">
        <v>235</v>
      </c>
      <c r="Z14" s="144" t="s">
        <v>39</v>
      </c>
      <c r="AA14" s="198" t="s">
        <v>244</v>
      </c>
    </row>
    <row r="15" spans="2:27" ht="24.6" x14ac:dyDescent="0.45">
      <c r="D15" s="205"/>
      <c r="E15" s="203" t="s">
        <v>217</v>
      </c>
      <c r="F15" s="203" t="s">
        <v>217</v>
      </c>
      <c r="G15" s="206"/>
      <c r="H15" s="144" t="s">
        <v>39</v>
      </c>
      <c r="I15" s="198" t="s">
        <v>237</v>
      </c>
      <c r="AA15" s="198" t="s">
        <v>245</v>
      </c>
    </row>
    <row r="16" spans="2:27" ht="24.6" x14ac:dyDescent="0.45">
      <c r="D16" s="205"/>
      <c r="E16" s="203" t="s">
        <v>216</v>
      </c>
      <c r="F16" s="203" t="s">
        <v>216</v>
      </c>
      <c r="G16" s="206"/>
      <c r="H16" s="144" t="s">
        <v>39</v>
      </c>
      <c r="I16" s="198" t="s">
        <v>236</v>
      </c>
      <c r="AA16" s="198" t="s">
        <v>246</v>
      </c>
    </row>
    <row r="17" spans="4:31" ht="24.6" x14ac:dyDescent="0.45">
      <c r="D17" s="202" t="s">
        <v>214</v>
      </c>
      <c r="E17" s="203" t="s">
        <v>216</v>
      </c>
      <c r="F17" s="203" t="s">
        <v>216</v>
      </c>
      <c r="G17" s="204" t="s">
        <v>214</v>
      </c>
      <c r="AA17" s="211" t="s">
        <v>248</v>
      </c>
      <c r="AB17" s="212"/>
      <c r="AC17" s="212"/>
      <c r="AD17" s="212"/>
      <c r="AE17" s="212"/>
    </row>
    <row r="18" spans="4:31" ht="24.6" x14ac:dyDescent="0.45">
      <c r="D18" s="207" t="s">
        <v>215</v>
      </c>
      <c r="E18" s="208" t="s">
        <v>216</v>
      </c>
      <c r="F18" s="208" t="s">
        <v>216</v>
      </c>
      <c r="G18" s="209" t="s">
        <v>215</v>
      </c>
      <c r="AA18" s="198" t="s">
        <v>249</v>
      </c>
    </row>
    <row r="20" spans="4:31" ht="24.6" x14ac:dyDescent="0.45">
      <c r="U20" s="198"/>
      <c r="W20" s="198" t="s">
        <v>250</v>
      </c>
      <c r="Z20" s="144" t="s">
        <v>39</v>
      </c>
      <c r="AA20" s="198" t="s">
        <v>251</v>
      </c>
    </row>
    <row r="21" spans="4:31" x14ac:dyDescent="0.45">
      <c r="U21" s="198"/>
    </row>
    <row r="23" spans="4:31" x14ac:dyDescent="0.45">
      <c r="R23" s="191"/>
      <c r="S23" s="198"/>
    </row>
    <row r="24" spans="4:31" x14ac:dyDescent="0.45">
      <c r="S24" s="198"/>
    </row>
    <row r="26" spans="4:31" x14ac:dyDescent="0.45">
      <c r="D26" s="198"/>
      <c r="G26" s="198"/>
    </row>
    <row r="27" spans="4:31" x14ac:dyDescent="0.45">
      <c r="D27" s="198"/>
      <c r="G27" s="198"/>
    </row>
    <row r="28" spans="4:31" x14ac:dyDescent="0.45">
      <c r="D28" s="198"/>
      <c r="G28" s="198"/>
    </row>
    <row r="29" spans="4:31" x14ac:dyDescent="0.45">
      <c r="D29" s="198"/>
      <c r="G29" s="198"/>
    </row>
    <row r="30" spans="4:31" x14ac:dyDescent="0.45">
      <c r="D30" s="198"/>
    </row>
    <row r="31" spans="4:31" x14ac:dyDescent="0.45">
      <c r="D31" s="198"/>
    </row>
    <row r="32" spans="4:31" x14ac:dyDescent="0.45">
      <c r="D32" s="198"/>
      <c r="J32" s="198"/>
    </row>
    <row r="33" spans="4:12" x14ac:dyDescent="0.45">
      <c r="D33" s="198"/>
      <c r="J33" s="198"/>
    </row>
    <row r="35" spans="4:12" x14ac:dyDescent="0.45">
      <c r="D35" s="198"/>
      <c r="E35" s="198"/>
      <c r="F35" s="198"/>
      <c r="J35" s="198"/>
      <c r="K35" s="198"/>
      <c r="L35" s="198"/>
    </row>
    <row r="36" spans="4:12" x14ac:dyDescent="0.45">
      <c r="D36" s="198"/>
      <c r="E36" s="198"/>
      <c r="F36" s="198"/>
      <c r="J36" s="198"/>
      <c r="K36" s="198"/>
      <c r="L36" s="198"/>
    </row>
  </sheetData>
  <phoneticPr fontId="2"/>
  <pageMargins left="0.7" right="0.7" top="0.75" bottom="0.75" header="0.3" footer="0.3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970A5-19F7-44E4-9A88-F7E6AB70B82B}">
  <dimension ref="A1:BA32"/>
  <sheetViews>
    <sheetView topLeftCell="B1" zoomScale="85" zoomScaleNormal="85" workbookViewId="0">
      <pane ySplit="4" topLeftCell="A5" activePane="bottomLeft" state="frozen"/>
      <selection pane="bottomLeft" activeCell="AS28" sqref="AS28"/>
    </sheetView>
  </sheetViews>
  <sheetFormatPr defaultColWidth="5" defaultRowHeight="22.2" x14ac:dyDescent="0.45"/>
  <cols>
    <col min="1" max="1" width="13.8984375" style="1" bestFit="1" customWidth="1"/>
    <col min="2" max="2" width="6" style="1" bestFit="1" customWidth="1"/>
    <col min="3" max="5" width="5" style="1"/>
    <col min="6" max="6" width="6" style="1" bestFit="1" customWidth="1"/>
    <col min="7" max="26" width="5" style="1"/>
    <col min="27" max="27" width="6" style="1" bestFit="1" customWidth="1"/>
    <col min="28" max="28" width="5" style="1"/>
    <col min="29" max="29" width="5" style="1" customWidth="1"/>
    <col min="30" max="32" width="5" style="1"/>
    <col min="33" max="33" width="5" style="1" customWidth="1"/>
    <col min="34" max="34" width="5" style="1"/>
    <col min="35" max="35" width="6" style="1" bestFit="1" customWidth="1"/>
    <col min="36" max="16384" width="5" style="1"/>
  </cols>
  <sheetData>
    <row r="1" spans="1:53" x14ac:dyDescent="0.45">
      <c r="A1" s="414" t="s">
        <v>42</v>
      </c>
      <c r="B1" s="9" t="s">
        <v>43</v>
      </c>
      <c r="C1" s="10" t="s">
        <v>44</v>
      </c>
      <c r="D1" s="10" t="s">
        <v>45</v>
      </c>
      <c r="E1" s="10" t="s">
        <v>46</v>
      </c>
      <c r="F1" s="10" t="s">
        <v>47</v>
      </c>
      <c r="G1" s="10" t="s">
        <v>48</v>
      </c>
      <c r="H1" s="10" t="s">
        <v>49</v>
      </c>
      <c r="I1" s="10" t="s">
        <v>16</v>
      </c>
      <c r="J1" s="10" t="s">
        <v>50</v>
      </c>
      <c r="K1" s="10" t="s">
        <v>51</v>
      </c>
      <c r="L1" s="10" t="s">
        <v>56</v>
      </c>
      <c r="M1" s="10" t="s">
        <v>57</v>
      </c>
      <c r="N1" s="10" t="s">
        <v>58</v>
      </c>
      <c r="O1" s="10" t="s">
        <v>52</v>
      </c>
      <c r="P1" s="10" t="s">
        <v>53</v>
      </c>
      <c r="Q1" s="10" t="s">
        <v>54</v>
      </c>
      <c r="R1" s="10" t="s">
        <v>55</v>
      </c>
      <c r="S1" s="10" t="s">
        <v>59</v>
      </c>
      <c r="T1" s="10" t="s">
        <v>60</v>
      </c>
      <c r="U1" s="10" t="s">
        <v>61</v>
      </c>
      <c r="V1" s="10" t="s">
        <v>62</v>
      </c>
      <c r="W1" s="11" t="s">
        <v>63</v>
      </c>
    </row>
    <row r="2" spans="1:53" ht="22.8" thickBot="1" x14ac:dyDescent="0.5">
      <c r="A2" s="415"/>
      <c r="B2" s="12">
        <v>6</v>
      </c>
      <c r="C2" s="13">
        <v>14</v>
      </c>
      <c r="D2" s="13">
        <v>22</v>
      </c>
      <c r="E2" s="13">
        <v>28</v>
      </c>
      <c r="F2" s="13">
        <v>29</v>
      </c>
      <c r="G2" s="13">
        <v>32</v>
      </c>
      <c r="H2" s="13">
        <v>40</v>
      </c>
      <c r="I2" s="13">
        <v>46</v>
      </c>
      <c r="J2" s="13">
        <v>47</v>
      </c>
      <c r="K2" s="13">
        <v>50</v>
      </c>
      <c r="L2" s="13">
        <v>58</v>
      </c>
      <c r="M2" s="13">
        <v>59</v>
      </c>
      <c r="N2" s="13">
        <v>65</v>
      </c>
      <c r="O2" s="13">
        <v>72</v>
      </c>
      <c r="P2" s="13">
        <v>78</v>
      </c>
      <c r="Q2" s="13">
        <v>79</v>
      </c>
      <c r="R2" s="13">
        <v>82</v>
      </c>
      <c r="S2" s="13">
        <v>90</v>
      </c>
      <c r="T2" s="13">
        <v>96</v>
      </c>
      <c r="U2" s="13">
        <v>97</v>
      </c>
      <c r="V2" s="13">
        <v>98</v>
      </c>
      <c r="W2" s="14">
        <v>104</v>
      </c>
    </row>
    <row r="3" spans="1:53" x14ac:dyDescent="0.45">
      <c r="A3" s="412" t="s">
        <v>41</v>
      </c>
      <c r="B3" s="3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29</v>
      </c>
      <c r="AE3" s="4" t="s">
        <v>30</v>
      </c>
      <c r="AF3" s="4" t="s">
        <v>31</v>
      </c>
      <c r="AG3" s="4" t="s">
        <v>32</v>
      </c>
      <c r="AH3" s="4" t="s">
        <v>33</v>
      </c>
      <c r="AI3" s="4" t="s">
        <v>34</v>
      </c>
      <c r="AJ3" s="4" t="s">
        <v>35</v>
      </c>
      <c r="AK3" s="4" t="s">
        <v>36</v>
      </c>
      <c r="AL3" s="4" t="s">
        <v>37</v>
      </c>
      <c r="AM3" s="5" t="s">
        <v>38</v>
      </c>
    </row>
    <row r="4" spans="1:53" ht="22.8" thickBot="1" x14ac:dyDescent="0.5">
      <c r="A4" s="413"/>
      <c r="B4" s="6">
        <v>7</v>
      </c>
      <c r="C4" s="7">
        <v>15</v>
      </c>
      <c r="D4" s="7">
        <v>16</v>
      </c>
      <c r="E4" s="7">
        <v>17</v>
      </c>
      <c r="F4" s="7">
        <v>23</v>
      </c>
      <c r="G4" s="7">
        <v>24</v>
      </c>
      <c r="H4" s="7">
        <v>25</v>
      </c>
      <c r="I4" s="7">
        <v>26</v>
      </c>
      <c r="J4" s="7">
        <v>27</v>
      </c>
      <c r="K4" s="7">
        <v>33</v>
      </c>
      <c r="L4" s="7">
        <v>34</v>
      </c>
      <c r="M4" s="7">
        <v>35</v>
      </c>
      <c r="N4" s="7">
        <v>41</v>
      </c>
      <c r="O4" s="7">
        <v>42</v>
      </c>
      <c r="P4" s="7">
        <v>43</v>
      </c>
      <c r="Q4" s="7">
        <v>44</v>
      </c>
      <c r="R4" s="7">
        <v>45</v>
      </c>
      <c r="S4" s="7">
        <v>51</v>
      </c>
      <c r="T4" s="7">
        <v>52</v>
      </c>
      <c r="U4" s="7">
        <v>53</v>
      </c>
      <c r="V4" s="7">
        <v>73</v>
      </c>
      <c r="W4" s="7">
        <v>74</v>
      </c>
      <c r="X4" s="7">
        <v>75</v>
      </c>
      <c r="Y4" s="7">
        <v>76</v>
      </c>
      <c r="Z4" s="7">
        <v>77</v>
      </c>
      <c r="AA4" s="7">
        <v>83</v>
      </c>
      <c r="AB4" s="7">
        <v>84</v>
      </c>
      <c r="AC4" s="7">
        <v>85</v>
      </c>
      <c r="AD4" s="7">
        <v>91</v>
      </c>
      <c r="AE4" s="7">
        <v>92</v>
      </c>
      <c r="AF4" s="7">
        <v>93</v>
      </c>
      <c r="AG4" s="7">
        <v>94</v>
      </c>
      <c r="AH4" s="7">
        <v>95</v>
      </c>
      <c r="AI4" s="7">
        <v>105</v>
      </c>
      <c r="AJ4" s="7">
        <v>106</v>
      </c>
      <c r="AK4" s="7">
        <v>107</v>
      </c>
      <c r="AL4" s="7">
        <v>108</v>
      </c>
      <c r="AM4" s="8">
        <v>109</v>
      </c>
    </row>
    <row r="5" spans="1:53" x14ac:dyDescent="0.45">
      <c r="AQ5" s="1" t="s">
        <v>92</v>
      </c>
      <c r="AR5" s="18" t="s">
        <v>205</v>
      </c>
      <c r="AS5" s="1" t="s">
        <v>120</v>
      </c>
      <c r="AT5" s="1" t="s">
        <v>40</v>
      </c>
      <c r="AU5" s="1" t="s">
        <v>93</v>
      </c>
      <c r="AV5" s="1" t="s">
        <v>40</v>
      </c>
      <c r="AW5" s="1" t="s">
        <v>3</v>
      </c>
    </row>
    <row r="6" spans="1:53" x14ac:dyDescent="0.45">
      <c r="A6" s="15" t="s">
        <v>64</v>
      </c>
      <c r="B6" s="48">
        <v>7</v>
      </c>
      <c r="C6" s="49" t="s">
        <v>40</v>
      </c>
      <c r="D6" s="34">
        <v>7</v>
      </c>
      <c r="E6" s="49" t="s">
        <v>39</v>
      </c>
      <c r="F6" s="33">
        <f t="shared" ref="F6:F8" si="0">B6+D6</f>
        <v>14</v>
      </c>
      <c r="G6" s="42"/>
      <c r="H6" s="43"/>
      <c r="I6" s="42"/>
      <c r="J6" s="42"/>
      <c r="K6" s="42"/>
      <c r="P6" s="2" t="s">
        <v>79</v>
      </c>
      <c r="X6" s="2" t="s">
        <v>78</v>
      </c>
      <c r="AI6" s="1">
        <v>7</v>
      </c>
      <c r="AJ6" s="18" t="s">
        <v>40</v>
      </c>
      <c r="AK6" s="1">
        <v>85</v>
      </c>
      <c r="AL6" s="18" t="s">
        <v>82</v>
      </c>
      <c r="AM6" s="1">
        <f>AI6+AK6</f>
        <v>92</v>
      </c>
      <c r="AN6" s="2"/>
      <c r="AQ6" s="1">
        <v>3</v>
      </c>
      <c r="AR6" s="18" t="s">
        <v>205</v>
      </c>
      <c r="AS6" s="122">
        <v>11</v>
      </c>
      <c r="AT6" s="1" t="s">
        <v>40</v>
      </c>
      <c r="AU6" s="122">
        <v>13</v>
      </c>
      <c r="AV6" s="1" t="s">
        <v>40</v>
      </c>
      <c r="AW6" s="122">
        <v>17</v>
      </c>
    </row>
    <row r="7" spans="1:53" x14ac:dyDescent="0.45">
      <c r="A7" s="15" t="s">
        <v>65</v>
      </c>
      <c r="B7" s="50">
        <v>7</v>
      </c>
      <c r="C7" s="44" t="s">
        <v>66</v>
      </c>
      <c r="D7" s="42">
        <v>14</v>
      </c>
      <c r="E7" s="44" t="s">
        <v>39</v>
      </c>
      <c r="F7" s="51">
        <f t="shared" si="0"/>
        <v>21</v>
      </c>
      <c r="G7" s="42"/>
      <c r="H7" s="43"/>
      <c r="I7" s="42"/>
      <c r="J7" s="42"/>
      <c r="K7" s="42"/>
      <c r="P7" s="1" t="s">
        <v>0</v>
      </c>
      <c r="Q7" s="1" t="s">
        <v>80</v>
      </c>
      <c r="R7" s="1" t="s">
        <v>0</v>
      </c>
      <c r="S7" s="1" t="s">
        <v>80</v>
      </c>
      <c r="T7" s="1" t="s">
        <v>0</v>
      </c>
      <c r="X7" s="1" t="s">
        <v>0</v>
      </c>
      <c r="Y7" s="1" t="s">
        <v>80</v>
      </c>
      <c r="Z7" s="1" t="s">
        <v>0</v>
      </c>
      <c r="AA7" s="1" t="s">
        <v>80</v>
      </c>
      <c r="AB7" s="1" t="s">
        <v>0</v>
      </c>
      <c r="AI7" s="1">
        <v>14</v>
      </c>
      <c r="AJ7" s="18" t="s">
        <v>40</v>
      </c>
      <c r="AK7" s="1">
        <f>AM6</f>
        <v>92</v>
      </c>
      <c r="AL7" s="18" t="s">
        <v>82</v>
      </c>
      <c r="AM7" s="1">
        <f>AI7+AK7</f>
        <v>106</v>
      </c>
      <c r="AN7" s="2"/>
    </row>
    <row r="8" spans="1:53" x14ac:dyDescent="0.45">
      <c r="A8" s="15" t="s">
        <v>68</v>
      </c>
      <c r="B8" s="50">
        <v>7</v>
      </c>
      <c r="C8" s="44" t="s">
        <v>39</v>
      </c>
      <c r="D8" s="42">
        <v>7</v>
      </c>
      <c r="E8" s="44" t="s">
        <v>40</v>
      </c>
      <c r="F8" s="51">
        <f t="shared" si="0"/>
        <v>14</v>
      </c>
      <c r="G8" s="42"/>
      <c r="H8" s="43"/>
      <c r="I8" s="42"/>
      <c r="J8" s="42"/>
      <c r="K8" s="42"/>
      <c r="P8" s="1" t="s">
        <v>87</v>
      </c>
      <c r="R8" s="1" t="s">
        <v>86</v>
      </c>
      <c r="T8" s="1" t="s">
        <v>87</v>
      </c>
      <c r="X8" s="1" t="s">
        <v>87</v>
      </c>
      <c r="AB8" s="1" t="s">
        <v>87</v>
      </c>
      <c r="AQ8" s="1">
        <v>3</v>
      </c>
      <c r="AR8" s="1" t="s">
        <v>40</v>
      </c>
      <c r="AS8" s="1">
        <v>3</v>
      </c>
      <c r="AT8" s="1" t="s">
        <v>39</v>
      </c>
      <c r="AU8" s="1">
        <v>6</v>
      </c>
      <c r="AW8" s="1">
        <v>3</v>
      </c>
      <c r="AX8" s="1" t="s">
        <v>40</v>
      </c>
      <c r="AY8" s="1">
        <v>3</v>
      </c>
      <c r="AZ8" s="1" t="s">
        <v>39</v>
      </c>
      <c r="BA8" s="1">
        <v>6</v>
      </c>
    </row>
    <row r="9" spans="1:53" x14ac:dyDescent="0.45">
      <c r="A9" s="15" t="s">
        <v>69</v>
      </c>
      <c r="B9" s="50">
        <v>14</v>
      </c>
      <c r="C9" s="44" t="s">
        <v>66</v>
      </c>
      <c r="D9" s="42">
        <v>7</v>
      </c>
      <c r="E9" s="44" t="s">
        <v>39</v>
      </c>
      <c r="F9" s="51">
        <f>B9+D9</f>
        <v>21</v>
      </c>
      <c r="G9" s="42"/>
      <c r="H9" s="43"/>
      <c r="I9" s="42"/>
      <c r="J9" s="42"/>
      <c r="K9" s="42"/>
      <c r="L9" s="15"/>
      <c r="N9" s="15"/>
      <c r="P9" s="1" t="s">
        <v>0</v>
      </c>
      <c r="Q9" s="1" t="s">
        <v>85</v>
      </c>
      <c r="R9" s="1" t="s">
        <v>44</v>
      </c>
      <c r="S9" s="1" t="s">
        <v>85</v>
      </c>
      <c r="T9" s="1" t="s">
        <v>0</v>
      </c>
      <c r="V9" s="1" t="s">
        <v>83</v>
      </c>
      <c r="X9" s="1" t="s">
        <v>0</v>
      </c>
      <c r="AB9" s="1" t="s">
        <v>0</v>
      </c>
      <c r="AD9" s="18" t="s">
        <v>66</v>
      </c>
      <c r="AF9" s="1" t="s">
        <v>88</v>
      </c>
      <c r="AI9" s="19">
        <v>7</v>
      </c>
      <c r="AJ9" s="20" t="s">
        <v>40</v>
      </c>
      <c r="AK9" s="21">
        <v>6</v>
      </c>
      <c r="AL9" s="20" t="s">
        <v>39</v>
      </c>
      <c r="AM9" s="22">
        <v>13</v>
      </c>
      <c r="AN9" s="18"/>
      <c r="AQ9" s="1">
        <v>3</v>
      </c>
      <c r="AR9" s="1" t="s">
        <v>40</v>
      </c>
      <c r="AS9" s="1">
        <v>6</v>
      </c>
      <c r="AT9" s="1" t="s">
        <v>39</v>
      </c>
      <c r="AU9" s="1">
        <v>9</v>
      </c>
      <c r="AW9" s="1">
        <v>3</v>
      </c>
      <c r="AX9" s="1" t="s">
        <v>40</v>
      </c>
      <c r="AY9" s="1">
        <v>6</v>
      </c>
      <c r="AZ9" s="1" t="s">
        <v>39</v>
      </c>
      <c r="BA9" s="1">
        <v>9</v>
      </c>
    </row>
    <row r="10" spans="1:53" x14ac:dyDescent="0.45">
      <c r="A10" s="15" t="s">
        <v>67</v>
      </c>
      <c r="B10" s="50">
        <v>21</v>
      </c>
      <c r="C10" s="44" t="s">
        <v>66</v>
      </c>
      <c r="D10" s="42">
        <v>7</v>
      </c>
      <c r="E10" s="44" t="s">
        <v>39</v>
      </c>
      <c r="F10" s="51">
        <f t="shared" ref="F10:F16" si="1">B10+D10</f>
        <v>28</v>
      </c>
      <c r="G10" s="42"/>
      <c r="H10" s="43"/>
      <c r="I10" s="42"/>
      <c r="J10" s="45"/>
      <c r="K10" s="45"/>
      <c r="L10" s="15"/>
      <c r="N10" s="15"/>
      <c r="P10" s="1" t="s">
        <v>87</v>
      </c>
      <c r="R10" s="1" t="s">
        <v>86</v>
      </c>
      <c r="T10" s="1" t="s">
        <v>87</v>
      </c>
      <c r="X10" s="1" t="s">
        <v>87</v>
      </c>
      <c r="AB10" s="1" t="s">
        <v>87</v>
      </c>
      <c r="AI10" s="24">
        <v>7</v>
      </c>
      <c r="AJ10" s="25" t="s">
        <v>40</v>
      </c>
      <c r="AK10" s="26">
        <v>7</v>
      </c>
      <c r="AL10" s="25" t="s">
        <v>39</v>
      </c>
      <c r="AM10" s="27">
        <v>14</v>
      </c>
      <c r="AQ10" s="1">
        <v>3</v>
      </c>
      <c r="AR10" s="1" t="s">
        <v>40</v>
      </c>
      <c r="AS10" s="1">
        <v>9</v>
      </c>
      <c r="AT10" s="1" t="s">
        <v>39</v>
      </c>
      <c r="AU10" s="1">
        <v>12</v>
      </c>
      <c r="AW10" s="1">
        <v>3</v>
      </c>
      <c r="AX10" s="1" t="s">
        <v>40</v>
      </c>
      <c r="AY10" s="1">
        <v>9</v>
      </c>
      <c r="AZ10" s="1" t="s">
        <v>39</v>
      </c>
      <c r="BA10" s="1">
        <v>12</v>
      </c>
    </row>
    <row r="11" spans="1:53" x14ac:dyDescent="0.45">
      <c r="A11" s="15" t="s">
        <v>70</v>
      </c>
      <c r="B11" s="50">
        <v>14</v>
      </c>
      <c r="C11" s="44" t="s">
        <v>66</v>
      </c>
      <c r="D11" s="42">
        <v>7</v>
      </c>
      <c r="E11" s="44" t="s">
        <v>39</v>
      </c>
      <c r="F11" s="51">
        <f t="shared" si="1"/>
        <v>21</v>
      </c>
      <c r="G11" s="42"/>
      <c r="H11" s="43"/>
      <c r="I11" s="42"/>
      <c r="J11" s="42"/>
      <c r="K11" s="42"/>
      <c r="L11" s="15"/>
      <c r="N11" s="15"/>
      <c r="P11" s="1" t="s">
        <v>0</v>
      </c>
      <c r="Q11" s="1" t="s">
        <v>80</v>
      </c>
      <c r="R11" s="1" t="s">
        <v>0</v>
      </c>
      <c r="S11" s="1" t="s">
        <v>80</v>
      </c>
      <c r="T11" s="1" t="s">
        <v>0</v>
      </c>
      <c r="X11" s="1" t="s">
        <v>0</v>
      </c>
      <c r="Y11" s="1" t="s">
        <v>80</v>
      </c>
      <c r="Z11" s="1" t="s">
        <v>0</v>
      </c>
      <c r="AA11" s="1" t="s">
        <v>80</v>
      </c>
      <c r="AB11" s="1" t="s">
        <v>0</v>
      </c>
      <c r="AI11" s="19">
        <v>13</v>
      </c>
      <c r="AJ11" s="20" t="s">
        <v>40</v>
      </c>
      <c r="AK11" s="21">
        <v>12</v>
      </c>
      <c r="AL11" s="20" t="s">
        <v>39</v>
      </c>
      <c r="AM11" s="22">
        <v>25</v>
      </c>
      <c r="AO11" s="2"/>
      <c r="AQ11" s="1">
        <v>3</v>
      </c>
      <c r="AR11" s="1" t="s">
        <v>40</v>
      </c>
      <c r="AS11" s="1">
        <v>12</v>
      </c>
      <c r="AT11" s="1" t="s">
        <v>39</v>
      </c>
      <c r="AU11" s="1">
        <v>15</v>
      </c>
      <c r="AW11" s="1">
        <v>3</v>
      </c>
      <c r="AX11" s="1" t="s">
        <v>40</v>
      </c>
      <c r="AY11" s="1">
        <v>12</v>
      </c>
      <c r="AZ11" s="1" t="s">
        <v>39</v>
      </c>
      <c r="BA11" s="1">
        <v>15</v>
      </c>
    </row>
    <row r="12" spans="1:53" x14ac:dyDescent="0.45">
      <c r="A12" s="15" t="s">
        <v>71</v>
      </c>
      <c r="B12" s="50">
        <v>21</v>
      </c>
      <c r="C12" s="44" t="s">
        <v>66</v>
      </c>
      <c r="D12" s="42">
        <v>28</v>
      </c>
      <c r="E12" s="44" t="s">
        <v>39</v>
      </c>
      <c r="F12" s="51">
        <f t="shared" si="1"/>
        <v>49</v>
      </c>
      <c r="G12" s="42"/>
      <c r="H12" s="43"/>
      <c r="I12" s="42"/>
      <c r="J12" s="42"/>
      <c r="K12" s="42"/>
      <c r="L12" s="15"/>
      <c r="N12" s="15"/>
      <c r="AI12" s="28">
        <v>13</v>
      </c>
      <c r="AJ12" s="17" t="s">
        <v>40</v>
      </c>
      <c r="AK12" s="15">
        <v>13</v>
      </c>
      <c r="AL12" s="17" t="s">
        <v>39</v>
      </c>
      <c r="AM12" s="29">
        <v>26</v>
      </c>
      <c r="AO12" s="2"/>
      <c r="AQ12" s="1">
        <v>3</v>
      </c>
      <c r="AR12" s="1" t="s">
        <v>40</v>
      </c>
      <c r="AS12" s="1">
        <v>15</v>
      </c>
      <c r="AT12" s="1" t="s">
        <v>39</v>
      </c>
      <c r="AU12" s="1">
        <v>18</v>
      </c>
      <c r="AW12" s="1">
        <v>3</v>
      </c>
      <c r="AX12" s="1" t="s">
        <v>40</v>
      </c>
      <c r="AY12" s="1">
        <v>15</v>
      </c>
      <c r="AZ12" s="1" t="s">
        <v>39</v>
      </c>
      <c r="BA12" s="1">
        <v>18</v>
      </c>
    </row>
    <row r="13" spans="1:53" x14ac:dyDescent="0.45">
      <c r="A13" s="15" t="s">
        <v>72</v>
      </c>
      <c r="B13" s="52">
        <v>49</v>
      </c>
      <c r="C13" s="53" t="s">
        <v>66</v>
      </c>
      <c r="D13" s="30">
        <v>21</v>
      </c>
      <c r="E13" s="53" t="s">
        <v>39</v>
      </c>
      <c r="F13" s="57">
        <f t="shared" si="1"/>
        <v>70</v>
      </c>
      <c r="G13" s="42"/>
      <c r="H13" s="43"/>
      <c r="I13" s="42"/>
      <c r="J13" s="42"/>
      <c r="K13" s="42"/>
      <c r="N13" s="15"/>
      <c r="AA13" s="428" t="s">
        <v>89</v>
      </c>
      <c r="AB13" s="429"/>
      <c r="AC13" s="429"/>
      <c r="AD13" s="429"/>
      <c r="AE13" s="429"/>
      <c r="AF13" s="429"/>
      <c r="AG13" s="430"/>
      <c r="AI13" s="54">
        <v>14</v>
      </c>
      <c r="AJ13" s="55" t="s">
        <v>40</v>
      </c>
      <c r="AK13" s="23">
        <v>13</v>
      </c>
      <c r="AL13" s="55" t="s">
        <v>39</v>
      </c>
      <c r="AM13" s="56">
        <v>27</v>
      </c>
      <c r="AO13" s="2"/>
      <c r="AQ13" s="26">
        <v>3</v>
      </c>
      <c r="AR13" s="26" t="s">
        <v>40</v>
      </c>
      <c r="AS13" s="26">
        <v>18</v>
      </c>
      <c r="AT13" s="26" t="s">
        <v>39</v>
      </c>
      <c r="AU13" s="26">
        <v>21</v>
      </c>
      <c r="AW13" s="1">
        <v>3</v>
      </c>
      <c r="AX13" s="1" t="s">
        <v>40</v>
      </c>
      <c r="AY13" s="1">
        <v>18</v>
      </c>
      <c r="AZ13" s="1" t="s">
        <v>39</v>
      </c>
      <c r="BA13" s="1">
        <v>21</v>
      </c>
    </row>
    <row r="14" spans="1:53" x14ac:dyDescent="0.45">
      <c r="A14" s="15" t="s">
        <v>73</v>
      </c>
      <c r="B14" s="50">
        <v>7</v>
      </c>
      <c r="C14" s="44" t="s">
        <v>39</v>
      </c>
      <c r="D14" s="42">
        <v>4</v>
      </c>
      <c r="E14" s="44" t="s">
        <v>40</v>
      </c>
      <c r="F14" s="51">
        <v>3</v>
      </c>
      <c r="G14" s="42"/>
      <c r="H14" s="43"/>
      <c r="I14" s="42"/>
      <c r="J14" s="42"/>
      <c r="K14" s="42"/>
      <c r="L14" s="15"/>
      <c r="N14" s="15"/>
      <c r="AA14" s="35">
        <v>7</v>
      </c>
      <c r="AB14" s="36" t="s">
        <v>40</v>
      </c>
      <c r="AC14" s="41">
        <v>85</v>
      </c>
      <c r="AD14" s="36" t="s">
        <v>39</v>
      </c>
      <c r="AE14" s="421">
        <f>AA14+AC14</f>
        <v>92</v>
      </c>
      <c r="AF14" s="419" t="s">
        <v>39</v>
      </c>
      <c r="AG14" s="431">
        <f>AC15+AE14</f>
        <v>106</v>
      </c>
      <c r="AI14" s="24">
        <v>14</v>
      </c>
      <c r="AJ14" s="25" t="s">
        <v>40</v>
      </c>
      <c r="AK14" s="26">
        <v>14</v>
      </c>
      <c r="AL14" s="25" t="s">
        <v>39</v>
      </c>
      <c r="AM14" s="27">
        <v>28</v>
      </c>
      <c r="AO14" s="2"/>
      <c r="AQ14" s="1">
        <v>21</v>
      </c>
      <c r="AR14" s="1" t="s">
        <v>39</v>
      </c>
      <c r="AS14" s="122">
        <v>11</v>
      </c>
      <c r="AT14" s="1" t="s">
        <v>40</v>
      </c>
      <c r="AU14" s="1">
        <v>10</v>
      </c>
      <c r="AW14" s="1">
        <v>3</v>
      </c>
      <c r="AX14" s="1" t="s">
        <v>40</v>
      </c>
      <c r="AY14" s="1">
        <v>21</v>
      </c>
      <c r="AZ14" s="1" t="s">
        <v>39</v>
      </c>
      <c r="BA14" s="1">
        <v>24</v>
      </c>
    </row>
    <row r="15" spans="1:53" x14ac:dyDescent="0.45">
      <c r="A15" s="1" t="s">
        <v>74</v>
      </c>
      <c r="B15" s="50">
        <v>3</v>
      </c>
      <c r="C15" s="44" t="s">
        <v>66</v>
      </c>
      <c r="D15" s="42">
        <v>70</v>
      </c>
      <c r="E15" s="44" t="s">
        <v>40</v>
      </c>
      <c r="F15" s="51">
        <f t="shared" si="1"/>
        <v>73</v>
      </c>
      <c r="G15" s="42"/>
      <c r="H15" s="43"/>
      <c r="I15" s="42"/>
      <c r="J15" s="42"/>
      <c r="K15" s="42"/>
      <c r="L15" s="15"/>
      <c r="AA15" s="37"/>
      <c r="AB15" s="38"/>
      <c r="AC15" s="39">
        <v>14</v>
      </c>
      <c r="AD15" s="40" t="s">
        <v>40</v>
      </c>
      <c r="AE15" s="422"/>
      <c r="AF15" s="420"/>
      <c r="AG15" s="432"/>
      <c r="AI15" s="19">
        <v>25</v>
      </c>
      <c r="AJ15" s="20" t="s">
        <v>40</v>
      </c>
      <c r="AK15" s="21">
        <v>24</v>
      </c>
      <c r="AL15" s="20" t="s">
        <v>39</v>
      </c>
      <c r="AM15" s="22">
        <v>49</v>
      </c>
      <c r="AO15" s="2"/>
      <c r="AQ15" s="1">
        <v>10</v>
      </c>
      <c r="AR15" s="1" t="s">
        <v>40</v>
      </c>
      <c r="AS15" s="1">
        <v>3</v>
      </c>
      <c r="AT15" s="1" t="s">
        <v>39</v>
      </c>
      <c r="AU15" s="122">
        <v>13</v>
      </c>
      <c r="AW15" s="26">
        <v>3</v>
      </c>
      <c r="AX15" s="26" t="s">
        <v>40</v>
      </c>
      <c r="AY15" s="26">
        <v>24</v>
      </c>
      <c r="AZ15" s="26" t="s">
        <v>39</v>
      </c>
      <c r="BA15" s="26">
        <v>27</v>
      </c>
    </row>
    <row r="16" spans="1:53" x14ac:dyDescent="0.45">
      <c r="A16" s="1" t="s">
        <v>75</v>
      </c>
      <c r="B16" s="50">
        <v>7</v>
      </c>
      <c r="C16" s="44" t="s">
        <v>39</v>
      </c>
      <c r="D16" s="42">
        <v>4</v>
      </c>
      <c r="E16" s="44" t="s">
        <v>40</v>
      </c>
      <c r="F16" s="51">
        <f t="shared" si="1"/>
        <v>11</v>
      </c>
      <c r="G16" s="42"/>
      <c r="H16" s="43"/>
      <c r="I16" s="42"/>
      <c r="J16" s="45"/>
      <c r="K16" s="45"/>
      <c r="L16" s="15"/>
      <c r="AE16" s="1" t="s">
        <v>0</v>
      </c>
      <c r="AG16" s="1" t="s">
        <v>43</v>
      </c>
      <c r="AI16" s="28">
        <v>25</v>
      </c>
      <c r="AJ16" s="17" t="s">
        <v>40</v>
      </c>
      <c r="AK16" s="15">
        <v>25</v>
      </c>
      <c r="AL16" s="17" t="s">
        <v>39</v>
      </c>
      <c r="AM16" s="29">
        <v>50</v>
      </c>
      <c r="AO16" s="2"/>
      <c r="AW16" s="1">
        <v>27</v>
      </c>
      <c r="AX16" s="1" t="s">
        <v>39</v>
      </c>
      <c r="AY16" s="45">
        <v>14</v>
      </c>
      <c r="AZ16" s="1" t="s">
        <v>40</v>
      </c>
      <c r="BA16" s="122">
        <v>13</v>
      </c>
    </row>
    <row r="17" spans="1:53" x14ac:dyDescent="0.45">
      <c r="A17" s="1" t="s">
        <v>76</v>
      </c>
      <c r="B17" s="50">
        <v>3</v>
      </c>
      <c r="C17" s="44" t="s">
        <v>66</v>
      </c>
      <c r="D17" s="42">
        <v>73</v>
      </c>
      <c r="E17" s="44" t="s">
        <v>40</v>
      </c>
      <c r="F17" s="51">
        <f t="shared" ref="F17:F18" si="2">B17+D17</f>
        <v>76</v>
      </c>
      <c r="G17" s="42"/>
      <c r="H17" s="43"/>
      <c r="I17" s="42"/>
      <c r="J17" s="45"/>
      <c r="K17" s="45"/>
      <c r="L17" s="15"/>
      <c r="AE17" s="2"/>
      <c r="AI17" s="28">
        <v>26</v>
      </c>
      <c r="AJ17" s="17" t="s">
        <v>40</v>
      </c>
      <c r="AK17" s="15">
        <v>25</v>
      </c>
      <c r="AL17" s="17" t="s">
        <v>39</v>
      </c>
      <c r="AM17" s="29">
        <v>51</v>
      </c>
      <c r="AO17" s="2"/>
      <c r="AW17" s="1">
        <v>14</v>
      </c>
      <c r="AX17" s="1" t="s">
        <v>40</v>
      </c>
      <c r="AY17" s="1">
        <v>3</v>
      </c>
      <c r="AZ17" s="1" t="s">
        <v>39</v>
      </c>
      <c r="BA17" s="122">
        <v>17</v>
      </c>
    </row>
    <row r="18" spans="1:53" x14ac:dyDescent="0.45">
      <c r="A18" s="1" t="s">
        <v>77</v>
      </c>
      <c r="B18" s="50">
        <v>7</v>
      </c>
      <c r="C18" s="44" t="s">
        <v>39</v>
      </c>
      <c r="D18" s="42">
        <v>4</v>
      </c>
      <c r="E18" s="44" t="s">
        <v>40</v>
      </c>
      <c r="F18" s="51">
        <f t="shared" si="2"/>
        <v>11</v>
      </c>
      <c r="G18" s="42"/>
      <c r="H18" s="43"/>
      <c r="I18" s="42"/>
      <c r="J18" s="45"/>
      <c r="K18" s="45"/>
      <c r="L18" s="1">
        <f>N18*P18+R18+T18</f>
        <v>85</v>
      </c>
      <c r="M18" s="18" t="s">
        <v>39</v>
      </c>
      <c r="N18" s="1">
        <v>10</v>
      </c>
      <c r="O18" s="1" t="s">
        <v>91</v>
      </c>
      <c r="P18" s="1">
        <v>7</v>
      </c>
      <c r="Q18" s="1" t="s">
        <v>40</v>
      </c>
      <c r="R18" s="1">
        <v>14</v>
      </c>
      <c r="S18" s="1" t="s">
        <v>40</v>
      </c>
      <c r="T18" s="1">
        <v>1</v>
      </c>
      <c r="V18" s="425" t="s">
        <v>90</v>
      </c>
      <c r="W18" s="426"/>
      <c r="X18" s="426"/>
      <c r="Y18" s="426"/>
      <c r="Z18" s="426"/>
      <c r="AA18" s="426"/>
      <c r="AB18" s="426"/>
      <c r="AC18" s="426"/>
      <c r="AD18" s="426"/>
      <c r="AE18" s="427"/>
      <c r="AF18" s="15"/>
      <c r="AG18" s="15"/>
      <c r="AI18" s="28">
        <v>26</v>
      </c>
      <c r="AJ18" s="17" t="s">
        <v>40</v>
      </c>
      <c r="AK18" s="15">
        <v>26</v>
      </c>
      <c r="AL18" s="17" t="s">
        <v>39</v>
      </c>
      <c r="AM18" s="29">
        <v>52</v>
      </c>
      <c r="AO18" s="2"/>
    </row>
    <row r="19" spans="1:53" x14ac:dyDescent="0.45">
      <c r="A19" s="1" t="s">
        <v>94</v>
      </c>
      <c r="B19" s="50">
        <v>3</v>
      </c>
      <c r="C19" s="44" t="s">
        <v>66</v>
      </c>
      <c r="D19" s="42">
        <v>76</v>
      </c>
      <c r="E19" s="44" t="s">
        <v>40</v>
      </c>
      <c r="F19" s="51">
        <f t="shared" ref="F19:F27" si="3">B19+D19</f>
        <v>79</v>
      </c>
      <c r="G19" s="42"/>
      <c r="H19" s="43"/>
      <c r="I19" s="42"/>
      <c r="J19" s="45"/>
      <c r="K19" s="45"/>
      <c r="L19" s="46">
        <f>N19*P19+R19+N20*P20+R20*T20</f>
        <v>85</v>
      </c>
      <c r="M19" s="47" t="s">
        <v>39</v>
      </c>
      <c r="N19" s="46">
        <v>8</v>
      </c>
      <c r="O19" s="46" t="s">
        <v>91</v>
      </c>
      <c r="P19" s="46">
        <v>7</v>
      </c>
      <c r="Q19" s="46" t="s">
        <v>40</v>
      </c>
      <c r="R19" s="46">
        <v>14</v>
      </c>
      <c r="S19" s="46" t="s">
        <v>40</v>
      </c>
      <c r="T19" s="46"/>
      <c r="V19" s="417" t="s">
        <v>35</v>
      </c>
      <c r="W19" s="419" t="s">
        <v>39</v>
      </c>
      <c r="X19" s="421" t="s">
        <v>20</v>
      </c>
      <c r="Y19" s="419" t="s">
        <v>40</v>
      </c>
      <c r="Z19" s="423" t="s">
        <v>20</v>
      </c>
      <c r="AA19" s="417">
        <f>AG14</f>
        <v>106</v>
      </c>
      <c r="AB19" s="419" t="s">
        <v>39</v>
      </c>
      <c r="AC19" s="421">
        <f>AA19/2</f>
        <v>53</v>
      </c>
      <c r="AD19" s="419" t="s">
        <v>40</v>
      </c>
      <c r="AE19" s="423">
        <f>INT(AA19-AC19)</f>
        <v>53</v>
      </c>
      <c r="AF19" s="15"/>
      <c r="AG19" s="15"/>
      <c r="AI19" s="54">
        <v>27</v>
      </c>
      <c r="AJ19" s="55" t="s">
        <v>40</v>
      </c>
      <c r="AK19" s="23">
        <v>26</v>
      </c>
      <c r="AL19" s="55" t="s">
        <v>39</v>
      </c>
      <c r="AM19" s="56">
        <v>53</v>
      </c>
      <c r="AO19" s="2"/>
    </row>
    <row r="20" spans="1:53" x14ac:dyDescent="0.45">
      <c r="A20" s="1" t="s">
        <v>95</v>
      </c>
      <c r="B20" s="50">
        <v>4</v>
      </c>
      <c r="C20" s="44" t="s">
        <v>39</v>
      </c>
      <c r="D20" s="42">
        <v>2</v>
      </c>
      <c r="E20" s="44" t="s">
        <v>40</v>
      </c>
      <c r="F20" s="51">
        <v>2</v>
      </c>
      <c r="G20" s="42"/>
      <c r="H20" s="43"/>
      <c r="I20" s="42"/>
      <c r="J20" s="45"/>
      <c r="K20" s="45"/>
      <c r="L20" s="46"/>
      <c r="M20" s="46"/>
      <c r="N20" s="46">
        <v>3</v>
      </c>
      <c r="O20" s="46" t="s">
        <v>91</v>
      </c>
      <c r="P20" s="46">
        <v>3</v>
      </c>
      <c r="Q20" s="46" t="s">
        <v>40</v>
      </c>
      <c r="R20" s="46">
        <v>3</v>
      </c>
      <c r="S20" s="46" t="s">
        <v>91</v>
      </c>
      <c r="T20" s="46">
        <v>2</v>
      </c>
      <c r="V20" s="418"/>
      <c r="W20" s="420"/>
      <c r="X20" s="422"/>
      <c r="Y20" s="420"/>
      <c r="Z20" s="424"/>
      <c r="AA20" s="418"/>
      <c r="AB20" s="420"/>
      <c r="AC20" s="422"/>
      <c r="AD20" s="420"/>
      <c r="AE20" s="424"/>
      <c r="AF20" s="15"/>
      <c r="AG20" s="15"/>
      <c r="AI20" s="28">
        <v>27</v>
      </c>
      <c r="AJ20" s="17" t="s">
        <v>40</v>
      </c>
      <c r="AK20" s="15">
        <v>27</v>
      </c>
      <c r="AL20" s="17" t="s">
        <v>39</v>
      </c>
      <c r="AM20" s="29">
        <v>54</v>
      </c>
      <c r="AO20" s="2"/>
    </row>
    <row r="21" spans="1:53" x14ac:dyDescent="0.45">
      <c r="A21" s="1" t="s">
        <v>96</v>
      </c>
      <c r="B21" s="50">
        <v>2</v>
      </c>
      <c r="C21" s="44" t="s">
        <v>40</v>
      </c>
      <c r="D21" s="42">
        <v>79</v>
      </c>
      <c r="E21" s="44" t="s">
        <v>39</v>
      </c>
      <c r="F21" s="51">
        <f t="shared" si="3"/>
        <v>81</v>
      </c>
      <c r="G21" s="42"/>
      <c r="H21" s="43"/>
      <c r="I21" s="42"/>
      <c r="J21" s="45"/>
      <c r="K21" s="45"/>
      <c r="P21" s="1" t="s">
        <v>92</v>
      </c>
      <c r="V21" s="417" t="s">
        <v>20</v>
      </c>
      <c r="W21" s="419" t="s">
        <v>39</v>
      </c>
      <c r="X21" s="421" t="s">
        <v>8</v>
      </c>
      <c r="Y21" s="419" t="s">
        <v>40</v>
      </c>
      <c r="Z21" s="423" t="s">
        <v>7</v>
      </c>
      <c r="AA21" s="417">
        <f>AC19</f>
        <v>53</v>
      </c>
      <c r="AB21" s="419" t="s">
        <v>39</v>
      </c>
      <c r="AC21" s="421">
        <f>ROUNDUP(AA21/2,0)</f>
        <v>27</v>
      </c>
      <c r="AD21" s="419" t="s">
        <v>40</v>
      </c>
      <c r="AE21" s="423">
        <f>ROUNDDOWN(AA21/2,0)</f>
        <v>26</v>
      </c>
      <c r="AF21" s="15"/>
      <c r="AG21" s="15"/>
      <c r="AI21" s="28">
        <v>28</v>
      </c>
      <c r="AJ21" s="17" t="s">
        <v>40</v>
      </c>
      <c r="AK21" s="15">
        <v>27</v>
      </c>
      <c r="AL21" s="17" t="s">
        <v>39</v>
      </c>
      <c r="AM21" s="29">
        <v>55</v>
      </c>
      <c r="AO21" s="2"/>
    </row>
    <row r="22" spans="1:53" x14ac:dyDescent="0.45">
      <c r="A22" s="1" t="s">
        <v>97</v>
      </c>
      <c r="B22" s="50">
        <v>4</v>
      </c>
      <c r="C22" s="44" t="s">
        <v>39</v>
      </c>
      <c r="D22" s="42">
        <v>2</v>
      </c>
      <c r="E22" s="44" t="s">
        <v>40</v>
      </c>
      <c r="F22" s="51">
        <v>2</v>
      </c>
      <c r="G22" s="15"/>
      <c r="H22" s="15"/>
      <c r="I22" s="15"/>
      <c r="L22" s="1">
        <v>7</v>
      </c>
      <c r="M22" s="18" t="s">
        <v>39</v>
      </c>
      <c r="N22" s="1">
        <v>4</v>
      </c>
      <c r="O22" s="1" t="s">
        <v>40</v>
      </c>
      <c r="P22" s="1">
        <v>3</v>
      </c>
      <c r="V22" s="418"/>
      <c r="W22" s="420"/>
      <c r="X22" s="422"/>
      <c r="Y22" s="420"/>
      <c r="Z22" s="424"/>
      <c r="AA22" s="418"/>
      <c r="AB22" s="420"/>
      <c r="AC22" s="422"/>
      <c r="AD22" s="420"/>
      <c r="AE22" s="424"/>
      <c r="AF22" s="15"/>
      <c r="AG22" s="15"/>
      <c r="AI22" s="24">
        <v>28</v>
      </c>
      <c r="AJ22" s="25" t="s">
        <v>40</v>
      </c>
      <c r="AK22" s="26">
        <v>28</v>
      </c>
      <c r="AL22" s="25" t="s">
        <v>39</v>
      </c>
      <c r="AM22" s="27">
        <v>56</v>
      </c>
      <c r="AO22" s="2"/>
    </row>
    <row r="23" spans="1:53" x14ac:dyDescent="0.45">
      <c r="A23" s="1" t="s">
        <v>98</v>
      </c>
      <c r="B23" s="50">
        <v>2</v>
      </c>
      <c r="C23" s="44" t="s">
        <v>40</v>
      </c>
      <c r="D23" s="42">
        <v>81</v>
      </c>
      <c r="E23" s="44" t="s">
        <v>39</v>
      </c>
      <c r="F23" s="51">
        <f t="shared" si="3"/>
        <v>83</v>
      </c>
      <c r="L23" s="1">
        <v>7</v>
      </c>
      <c r="M23" s="1" t="s">
        <v>39</v>
      </c>
      <c r="N23" s="1">
        <v>4</v>
      </c>
      <c r="O23" s="1" t="s">
        <v>40</v>
      </c>
      <c r="P23" s="1">
        <v>3</v>
      </c>
      <c r="V23" s="417" t="s">
        <v>8</v>
      </c>
      <c r="W23" s="419" t="s">
        <v>39</v>
      </c>
      <c r="X23" s="421" t="s">
        <v>44</v>
      </c>
      <c r="Y23" s="419" t="s">
        <v>40</v>
      </c>
      <c r="Z23" s="423" t="s">
        <v>93</v>
      </c>
      <c r="AA23" s="417">
        <f>AC21</f>
        <v>27</v>
      </c>
      <c r="AB23" s="419" t="s">
        <v>39</v>
      </c>
      <c r="AC23" s="421">
        <f>ROUNDUP(AA23/2,0)</f>
        <v>14</v>
      </c>
      <c r="AD23" s="419" t="s">
        <v>40</v>
      </c>
      <c r="AE23" s="423">
        <f>ROUNDDOWN(AA23/2,0)</f>
        <v>13</v>
      </c>
      <c r="AF23" s="15"/>
      <c r="AG23" s="15"/>
      <c r="AO23" s="2"/>
    </row>
    <row r="24" spans="1:53" x14ac:dyDescent="0.45">
      <c r="A24" s="1" t="s">
        <v>99</v>
      </c>
      <c r="B24" s="50">
        <v>4</v>
      </c>
      <c r="C24" s="44" t="s">
        <v>39</v>
      </c>
      <c r="D24" s="42">
        <v>2</v>
      </c>
      <c r="E24" s="44" t="s">
        <v>40</v>
      </c>
      <c r="F24" s="51">
        <v>2</v>
      </c>
      <c r="L24" s="1">
        <v>7</v>
      </c>
      <c r="M24" s="1" t="s">
        <v>39</v>
      </c>
      <c r="N24" s="1">
        <v>4</v>
      </c>
      <c r="O24" s="1" t="s">
        <v>40</v>
      </c>
      <c r="P24" s="1">
        <v>3</v>
      </c>
      <c r="V24" s="418"/>
      <c r="W24" s="420"/>
      <c r="X24" s="422"/>
      <c r="Y24" s="420"/>
      <c r="Z24" s="424"/>
      <c r="AA24" s="418"/>
      <c r="AB24" s="420"/>
      <c r="AC24" s="422"/>
      <c r="AD24" s="420"/>
      <c r="AE24" s="424"/>
      <c r="AF24" s="15"/>
      <c r="AG24" s="15"/>
      <c r="AO24" s="2"/>
    </row>
    <row r="25" spans="1:53" x14ac:dyDescent="0.45">
      <c r="A25" s="1" t="s">
        <v>100</v>
      </c>
      <c r="B25" s="52">
        <v>2</v>
      </c>
      <c r="C25" s="53" t="s">
        <v>40</v>
      </c>
      <c r="D25" s="30">
        <v>83</v>
      </c>
      <c r="E25" s="53" t="s">
        <v>39</v>
      </c>
      <c r="F25" s="57">
        <f t="shared" si="3"/>
        <v>85</v>
      </c>
      <c r="L25" s="1">
        <v>4</v>
      </c>
      <c r="M25" s="1" t="s">
        <v>39</v>
      </c>
      <c r="N25" s="1">
        <v>2</v>
      </c>
      <c r="O25" s="1" t="s">
        <v>40</v>
      </c>
      <c r="P25" s="1">
        <v>2</v>
      </c>
      <c r="V25" s="417" t="s">
        <v>44</v>
      </c>
      <c r="W25" s="419" t="s">
        <v>39</v>
      </c>
      <c r="X25" s="421" t="s">
        <v>0</v>
      </c>
      <c r="Y25" s="419" t="s">
        <v>40</v>
      </c>
      <c r="Z25" s="423" t="s">
        <v>0</v>
      </c>
      <c r="AA25" s="417">
        <f>AC23</f>
        <v>14</v>
      </c>
      <c r="AB25" s="419" t="s">
        <v>39</v>
      </c>
      <c r="AC25" s="421">
        <f>ROUNDUP(AA25/2,0)</f>
        <v>7</v>
      </c>
      <c r="AD25" s="419" t="s">
        <v>40</v>
      </c>
      <c r="AE25" s="423">
        <f>ROUNDDOWN(AA25/2,0)</f>
        <v>7</v>
      </c>
      <c r="AF25" s="15"/>
      <c r="AG25" s="15"/>
      <c r="AI25" s="1">
        <v>106</v>
      </c>
      <c r="AJ25" s="1" t="s">
        <v>39</v>
      </c>
      <c r="AK25" s="1">
        <v>7</v>
      </c>
      <c r="AL25" s="1" t="s">
        <v>40</v>
      </c>
      <c r="AM25" s="32">
        <v>53</v>
      </c>
      <c r="AN25" s="268" t="s">
        <v>40</v>
      </c>
      <c r="AO25" s="268">
        <v>26</v>
      </c>
      <c r="AP25" s="268" t="s">
        <v>40</v>
      </c>
      <c r="AQ25" s="268">
        <v>13</v>
      </c>
      <c r="AR25" s="268" t="s">
        <v>40</v>
      </c>
      <c r="AS25" s="31">
        <v>7</v>
      </c>
    </row>
    <row r="26" spans="1:53" x14ac:dyDescent="0.45">
      <c r="A26" s="1" t="s">
        <v>101</v>
      </c>
      <c r="B26" s="1">
        <v>85</v>
      </c>
      <c r="C26" s="1" t="s">
        <v>40</v>
      </c>
      <c r="D26" s="1">
        <v>7</v>
      </c>
      <c r="E26" s="1" t="s">
        <v>39</v>
      </c>
      <c r="F26" s="42">
        <f t="shared" si="3"/>
        <v>92</v>
      </c>
      <c r="V26" s="418"/>
      <c r="W26" s="420"/>
      <c r="X26" s="422"/>
      <c r="Y26" s="420"/>
      <c r="Z26" s="424"/>
      <c r="AA26" s="418"/>
      <c r="AB26" s="420"/>
      <c r="AC26" s="422"/>
      <c r="AD26" s="420"/>
      <c r="AE26" s="424"/>
      <c r="AF26" s="15"/>
      <c r="AG26" s="15"/>
      <c r="AO26" s="2"/>
    </row>
    <row r="27" spans="1:53" x14ac:dyDescent="0.45">
      <c r="A27" s="1" t="s">
        <v>102</v>
      </c>
      <c r="B27" s="26">
        <v>14</v>
      </c>
      <c r="C27" s="26" t="s">
        <v>40</v>
      </c>
      <c r="D27" s="26">
        <v>92</v>
      </c>
      <c r="E27" s="26" t="s">
        <v>39</v>
      </c>
      <c r="F27" s="58">
        <f t="shared" si="3"/>
        <v>106</v>
      </c>
      <c r="AI27" s="1">
        <v>85</v>
      </c>
      <c r="AJ27" s="1" t="s">
        <v>40</v>
      </c>
      <c r="AK27" s="1">
        <v>32</v>
      </c>
      <c r="AL27" s="1" t="s">
        <v>40</v>
      </c>
      <c r="AM27" s="1">
        <v>7</v>
      </c>
      <c r="AN27" s="1" t="s">
        <v>40</v>
      </c>
      <c r="AO27" s="1">
        <v>7</v>
      </c>
      <c r="AP27" s="1" t="s">
        <v>40</v>
      </c>
      <c r="AQ27" s="1">
        <v>7</v>
      </c>
      <c r="AR27" s="1" t="s">
        <v>40</v>
      </c>
      <c r="AS27" s="1">
        <v>2</v>
      </c>
    </row>
    <row r="28" spans="1:53" x14ac:dyDescent="0.45">
      <c r="A28" s="1" t="s">
        <v>103</v>
      </c>
      <c r="B28" s="1">
        <v>106</v>
      </c>
      <c r="C28" s="1" t="s">
        <v>39</v>
      </c>
      <c r="D28" s="1">
        <v>53</v>
      </c>
      <c r="E28" s="1" t="s">
        <v>40</v>
      </c>
      <c r="F28" s="1">
        <v>53</v>
      </c>
    </row>
    <row r="29" spans="1:53" x14ac:dyDescent="0.45">
      <c r="A29" s="1" t="s">
        <v>104</v>
      </c>
      <c r="B29" s="1">
        <v>53</v>
      </c>
      <c r="C29" s="1" t="s">
        <v>39</v>
      </c>
      <c r="D29" s="1">
        <v>27</v>
      </c>
      <c r="E29" s="1" t="s">
        <v>40</v>
      </c>
      <c r="F29" s="1">
        <v>26</v>
      </c>
    </row>
    <row r="30" spans="1:53" x14ac:dyDescent="0.45">
      <c r="A30" s="1" t="s">
        <v>105</v>
      </c>
      <c r="B30" s="1">
        <v>27</v>
      </c>
      <c r="C30" s="1" t="s">
        <v>39</v>
      </c>
      <c r="D30" s="1">
        <v>14</v>
      </c>
      <c r="E30" s="1" t="s">
        <v>40</v>
      </c>
      <c r="F30" s="1">
        <v>13</v>
      </c>
    </row>
    <row r="31" spans="1:53" x14ac:dyDescent="0.45">
      <c r="A31" s="1" t="s">
        <v>106</v>
      </c>
      <c r="B31" s="26">
        <v>14</v>
      </c>
      <c r="C31" s="26" t="s">
        <v>39</v>
      </c>
      <c r="D31" s="58">
        <v>7</v>
      </c>
      <c r="E31" s="26" t="s">
        <v>40</v>
      </c>
      <c r="F31" s="26">
        <v>7</v>
      </c>
    </row>
    <row r="32" spans="1:53" x14ac:dyDescent="0.45">
      <c r="A32" s="1" t="s">
        <v>107</v>
      </c>
    </row>
  </sheetData>
  <mergeCells count="47">
    <mergeCell ref="A3:A4"/>
    <mergeCell ref="A1:A2"/>
    <mergeCell ref="AA13:AG13"/>
    <mergeCell ref="AE14:AE15"/>
    <mergeCell ref="AF14:AF15"/>
    <mergeCell ref="AG14:AG15"/>
    <mergeCell ref="AC25:AC26"/>
    <mergeCell ref="Y23:Y24"/>
    <mergeCell ref="Z23:Z24"/>
    <mergeCell ref="AA23:AA24"/>
    <mergeCell ref="AB23:AB24"/>
    <mergeCell ref="AC23:AC24"/>
    <mergeCell ref="Y25:Y26"/>
    <mergeCell ref="Z25:Z26"/>
    <mergeCell ref="AA25:AA26"/>
    <mergeCell ref="V18:AE18"/>
    <mergeCell ref="AD23:AD24"/>
    <mergeCell ref="AD25:AD26"/>
    <mergeCell ref="AC21:AC22"/>
    <mergeCell ref="AE21:AE22"/>
    <mergeCell ref="AE23:AE24"/>
    <mergeCell ref="AE25:AE26"/>
    <mergeCell ref="AA19:AA20"/>
    <mergeCell ref="AB19:AB20"/>
    <mergeCell ref="AC19:AC20"/>
    <mergeCell ref="AE19:AE20"/>
    <mergeCell ref="AA21:AA22"/>
    <mergeCell ref="AB21:AB22"/>
    <mergeCell ref="AD19:AD20"/>
    <mergeCell ref="AD21:AD22"/>
    <mergeCell ref="AB25:AB26"/>
    <mergeCell ref="V19:V20"/>
    <mergeCell ref="W19:W20"/>
    <mergeCell ref="X19:X20"/>
    <mergeCell ref="Y19:Y20"/>
    <mergeCell ref="Z19:Z20"/>
    <mergeCell ref="V21:V22"/>
    <mergeCell ref="W21:W22"/>
    <mergeCell ref="X21:X22"/>
    <mergeCell ref="Y21:Y22"/>
    <mergeCell ref="Z21:Z22"/>
    <mergeCell ref="V23:V24"/>
    <mergeCell ref="W23:W24"/>
    <mergeCell ref="X23:X24"/>
    <mergeCell ref="V25:V26"/>
    <mergeCell ref="W25:W26"/>
    <mergeCell ref="X25:X26"/>
  </mergeCells>
  <phoneticPr fontId="2"/>
  <conditionalFormatting sqref="A1:BA200">
    <cfRule type="expression" dxfId="1" priority="1">
      <formula>COUNTIFS($B$1:$W$2,A1:AM202)</formula>
    </cfRule>
    <cfRule type="expression" dxfId="0" priority="2">
      <formula>COUNTIFS($B$3:$AM$4,A1:AM202)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FCCBE-5390-45CE-9DCC-80B27FD595CC}">
  <dimension ref="D2:J12"/>
  <sheetViews>
    <sheetView showGridLines="0" workbookViewId="0"/>
  </sheetViews>
  <sheetFormatPr defaultColWidth="5" defaultRowHeight="22.2" x14ac:dyDescent="0.45"/>
  <cols>
    <col min="1" max="16384" width="5" style="144"/>
  </cols>
  <sheetData>
    <row r="2" spans="4:10" x14ac:dyDescent="0.45">
      <c r="D2" s="192" t="s">
        <v>50</v>
      </c>
      <c r="E2" s="193">
        <v>47</v>
      </c>
      <c r="F2" s="144" t="s">
        <v>39</v>
      </c>
      <c r="G2" s="144">
        <v>24</v>
      </c>
      <c r="H2" s="144" t="s">
        <v>40</v>
      </c>
      <c r="I2" s="190">
        <v>23</v>
      </c>
      <c r="J2" s="194" t="s">
        <v>4</v>
      </c>
    </row>
    <row r="4" spans="4:10" x14ac:dyDescent="0.45">
      <c r="D4" s="192" t="s">
        <v>54</v>
      </c>
      <c r="E4" s="193">
        <v>79</v>
      </c>
      <c r="F4" s="144" t="s">
        <v>39</v>
      </c>
      <c r="G4" s="144">
        <v>40</v>
      </c>
      <c r="H4" s="144" t="s">
        <v>40</v>
      </c>
      <c r="I4" s="190">
        <v>39</v>
      </c>
      <c r="J4" s="194" t="s">
        <v>142</v>
      </c>
    </row>
    <row r="6" spans="4:10" x14ac:dyDescent="0.45">
      <c r="D6" s="144">
        <v>24</v>
      </c>
      <c r="E6" s="144" t="s">
        <v>40</v>
      </c>
      <c r="F6" s="144">
        <v>40</v>
      </c>
      <c r="G6" s="144" t="s">
        <v>39</v>
      </c>
      <c r="H6" s="190">
        <v>64</v>
      </c>
      <c r="I6" s="194" t="s">
        <v>183</v>
      </c>
    </row>
    <row r="8" spans="4:10" x14ac:dyDescent="0.45">
      <c r="D8" s="144">
        <v>64</v>
      </c>
      <c r="E8" s="144" t="s">
        <v>39</v>
      </c>
      <c r="F8" s="144">
        <v>32</v>
      </c>
      <c r="G8" s="144" t="s">
        <v>40</v>
      </c>
      <c r="H8" s="190">
        <v>32</v>
      </c>
      <c r="I8" s="194" t="s">
        <v>48</v>
      </c>
    </row>
    <row r="10" spans="4:10" x14ac:dyDescent="0.45">
      <c r="D10" s="144">
        <v>32</v>
      </c>
      <c r="E10" s="144" t="s">
        <v>39</v>
      </c>
      <c r="F10" s="144">
        <v>16</v>
      </c>
      <c r="G10" s="144" t="s">
        <v>40</v>
      </c>
      <c r="H10" s="190">
        <v>16</v>
      </c>
      <c r="I10" s="194" t="s">
        <v>2</v>
      </c>
    </row>
    <row r="12" spans="4:10" x14ac:dyDescent="0.45">
      <c r="D12" s="144">
        <v>16</v>
      </c>
      <c r="E12" s="144" t="s">
        <v>39</v>
      </c>
      <c r="F12" s="144">
        <v>8</v>
      </c>
      <c r="G12" s="144" t="s">
        <v>40</v>
      </c>
      <c r="H12" s="195">
        <v>8</v>
      </c>
      <c r="I12" s="196" t="s">
        <v>155</v>
      </c>
    </row>
  </sheetData>
  <phoneticPr fontId="2"/>
  <pageMargins left="0.7" right="0.7" top="0.75" bottom="0.75" header="0.3" footer="0.3"/>
  <pageSetup paperSize="0" orientation="portrait" horizontalDpi="0" verticalDpi="0" copies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24D95-72F7-4FB5-871F-ACDB3690E445}">
  <dimension ref="B2:AR24"/>
  <sheetViews>
    <sheetView workbookViewId="0"/>
  </sheetViews>
  <sheetFormatPr defaultColWidth="5" defaultRowHeight="22.2" x14ac:dyDescent="0.45"/>
  <cols>
    <col min="1" max="1" width="5" style="59"/>
    <col min="2" max="4" width="5" style="59" customWidth="1"/>
    <col min="5" max="13" width="5" style="60" customWidth="1"/>
    <col min="14" max="14" width="5" style="60"/>
    <col min="15" max="25" width="5" style="60" customWidth="1"/>
    <col min="26" max="26" width="5" style="60"/>
    <col min="27" max="44" width="5" style="59" customWidth="1"/>
    <col min="45" max="16384" width="5" style="59"/>
  </cols>
  <sheetData>
    <row r="2" spans="3:44" x14ac:dyDescent="0.45">
      <c r="M2" s="433">
        <v>20</v>
      </c>
      <c r="N2" s="433"/>
      <c r="O2" s="433"/>
      <c r="P2" s="433"/>
      <c r="Q2" s="433"/>
      <c r="R2" s="433"/>
      <c r="S2" s="433"/>
      <c r="T2" s="433"/>
      <c r="U2" s="433"/>
      <c r="AB2" s="59">
        <v>0</v>
      </c>
      <c r="AC2" s="59">
        <v>-1</v>
      </c>
      <c r="AD2" s="59">
        <v>-2</v>
      </c>
      <c r="AL2" s="59">
        <v>0</v>
      </c>
      <c r="AM2" s="59">
        <v>-1</v>
      </c>
      <c r="AN2" s="59">
        <v>-2</v>
      </c>
      <c r="AO2" s="59">
        <v>-3</v>
      </c>
    </row>
    <row r="3" spans="3:44" x14ac:dyDescent="0.45">
      <c r="C3" s="434" t="s">
        <v>108</v>
      </c>
      <c r="D3" s="434"/>
      <c r="E3" s="434"/>
      <c r="F3" s="434"/>
      <c r="G3" s="434"/>
      <c r="H3" s="434"/>
      <c r="I3" s="434"/>
      <c r="J3" s="434"/>
      <c r="K3" s="434"/>
      <c r="M3" s="434" t="s">
        <v>108</v>
      </c>
      <c r="N3" s="434"/>
      <c r="O3" s="434"/>
      <c r="P3" s="434"/>
      <c r="Q3" s="434"/>
      <c r="R3" s="434"/>
      <c r="S3" s="434"/>
      <c r="T3" s="434"/>
      <c r="U3" s="434"/>
      <c r="V3" s="59"/>
      <c r="W3" s="59"/>
      <c r="X3" s="59"/>
      <c r="Y3" s="59"/>
      <c r="Z3" s="434" t="s">
        <v>108</v>
      </c>
      <c r="AA3" s="434"/>
      <c r="AB3" s="434"/>
      <c r="AC3" s="434"/>
      <c r="AD3" s="434"/>
      <c r="AE3" s="434"/>
      <c r="AF3" s="434"/>
      <c r="AG3" s="434"/>
      <c r="AH3" s="434"/>
      <c r="AJ3" s="434" t="s">
        <v>108</v>
      </c>
      <c r="AK3" s="434"/>
      <c r="AL3" s="434"/>
      <c r="AM3" s="434"/>
      <c r="AN3" s="434"/>
      <c r="AO3" s="434"/>
      <c r="AP3" s="434"/>
      <c r="AQ3" s="434"/>
      <c r="AR3" s="434"/>
    </row>
    <row r="4" spans="3:44" x14ac:dyDescent="0.45">
      <c r="C4" s="435" t="s">
        <v>203</v>
      </c>
      <c r="D4" s="435"/>
      <c r="E4" s="69">
        <v>7</v>
      </c>
      <c r="F4" s="69">
        <v>6</v>
      </c>
      <c r="G4" s="69">
        <v>5</v>
      </c>
      <c r="H4" s="69">
        <v>4</v>
      </c>
      <c r="I4" s="69">
        <v>3</v>
      </c>
      <c r="J4" s="69">
        <v>2</v>
      </c>
      <c r="K4" s="69">
        <v>1</v>
      </c>
      <c r="M4" s="435" t="s">
        <v>203</v>
      </c>
      <c r="N4" s="435"/>
      <c r="O4" s="69">
        <v>7</v>
      </c>
      <c r="P4" s="69">
        <v>6</v>
      </c>
      <c r="Q4" s="69">
        <v>5</v>
      </c>
      <c r="R4" s="69">
        <v>4</v>
      </c>
      <c r="S4" s="69">
        <v>3</v>
      </c>
      <c r="T4" s="69">
        <v>2</v>
      </c>
      <c r="U4" s="69">
        <v>1</v>
      </c>
      <c r="V4" s="59"/>
      <c r="W4" s="59"/>
      <c r="X4" s="59"/>
      <c r="Y4" s="59"/>
      <c r="Z4" s="435" t="s">
        <v>203</v>
      </c>
      <c r="AA4" s="435"/>
      <c r="AB4" s="69">
        <v>7</v>
      </c>
      <c r="AC4" s="69">
        <v>6</v>
      </c>
      <c r="AD4" s="69">
        <v>5</v>
      </c>
      <c r="AE4" s="69">
        <v>4</v>
      </c>
      <c r="AF4" s="69">
        <v>3</v>
      </c>
      <c r="AG4" s="69">
        <v>2</v>
      </c>
      <c r="AH4" s="69">
        <v>1</v>
      </c>
      <c r="AJ4" s="435" t="s">
        <v>203</v>
      </c>
      <c r="AK4" s="435"/>
      <c r="AL4" s="69">
        <v>7</v>
      </c>
      <c r="AM4" s="69">
        <v>6</v>
      </c>
      <c r="AN4" s="69">
        <v>5</v>
      </c>
      <c r="AO4" s="69">
        <v>4</v>
      </c>
      <c r="AP4" s="69">
        <v>3</v>
      </c>
      <c r="AQ4" s="69">
        <v>2</v>
      </c>
      <c r="AR4" s="69">
        <v>1</v>
      </c>
    </row>
    <row r="5" spans="3:44" x14ac:dyDescent="0.45">
      <c r="C5" s="435" t="s">
        <v>204</v>
      </c>
      <c r="D5" s="435"/>
      <c r="E5" s="120">
        <v>1</v>
      </c>
      <c r="F5" s="120">
        <v>1</v>
      </c>
      <c r="G5" s="120">
        <v>1</v>
      </c>
      <c r="H5" s="120">
        <v>1</v>
      </c>
      <c r="I5" s="120">
        <v>1</v>
      </c>
      <c r="J5" s="120">
        <v>1</v>
      </c>
      <c r="K5" s="120">
        <v>1</v>
      </c>
      <c r="M5" s="435" t="s">
        <v>204</v>
      </c>
      <c r="N5" s="435"/>
      <c r="O5" s="120">
        <v>1</v>
      </c>
      <c r="P5" s="120">
        <v>1</v>
      </c>
      <c r="Q5" s="120">
        <v>1</v>
      </c>
      <c r="R5" s="120">
        <v>0</v>
      </c>
      <c r="S5" s="120">
        <v>1</v>
      </c>
      <c r="T5" s="120">
        <v>0</v>
      </c>
      <c r="U5" s="120">
        <v>0</v>
      </c>
      <c r="V5" s="59"/>
      <c r="W5" s="59"/>
      <c r="X5" s="59"/>
      <c r="Y5" s="59"/>
      <c r="Z5" s="435" t="s">
        <v>204</v>
      </c>
      <c r="AA5" s="435"/>
      <c r="AB5" s="121">
        <v>1</v>
      </c>
      <c r="AC5" s="120">
        <v>1</v>
      </c>
      <c r="AD5" s="120">
        <v>0</v>
      </c>
      <c r="AE5" s="120">
        <v>1</v>
      </c>
      <c r="AF5" s="120">
        <v>1</v>
      </c>
      <c r="AG5" s="120">
        <v>0</v>
      </c>
      <c r="AH5" s="120">
        <v>0</v>
      </c>
      <c r="AJ5" s="435" t="s">
        <v>204</v>
      </c>
      <c r="AK5" s="435"/>
      <c r="AL5" s="121">
        <v>1</v>
      </c>
      <c r="AM5" s="120">
        <v>1</v>
      </c>
      <c r="AN5" s="120">
        <v>1</v>
      </c>
      <c r="AO5" s="120">
        <v>1</v>
      </c>
      <c r="AP5" s="120">
        <v>-3</v>
      </c>
      <c r="AQ5" s="120">
        <v>0</v>
      </c>
      <c r="AR5" s="120">
        <v>0</v>
      </c>
    </row>
    <row r="6" spans="3:44" x14ac:dyDescent="0.45">
      <c r="C6" s="436" t="s">
        <v>110</v>
      </c>
      <c r="D6" s="436"/>
      <c r="E6" s="71">
        <f t="shared" ref="E6:J6" si="0">2^(E4-1)*E5</f>
        <v>64</v>
      </c>
      <c r="F6" s="71">
        <f t="shared" si="0"/>
        <v>32</v>
      </c>
      <c r="G6" s="71">
        <f t="shared" si="0"/>
        <v>16</v>
      </c>
      <c r="H6" s="71">
        <f t="shared" si="0"/>
        <v>8</v>
      </c>
      <c r="I6" s="71">
        <f t="shared" si="0"/>
        <v>4</v>
      </c>
      <c r="J6" s="71">
        <f t="shared" si="0"/>
        <v>2</v>
      </c>
      <c r="K6" s="71">
        <f>2^(K4-1)*K5</f>
        <v>1</v>
      </c>
      <c r="M6" s="436" t="s">
        <v>110</v>
      </c>
      <c r="N6" s="436"/>
      <c r="O6" s="71">
        <f t="shared" ref="O6" si="1">2^(O4-1)*O5</f>
        <v>64</v>
      </c>
      <c r="P6" s="71">
        <f t="shared" ref="P6" si="2">2^(P4-1)*P5</f>
        <v>32</v>
      </c>
      <c r="Q6" s="71">
        <f t="shared" ref="Q6" si="3">2^(Q4-1)*Q5</f>
        <v>16</v>
      </c>
      <c r="R6" s="71">
        <f t="shared" ref="R6" si="4">2^(R4-1)*R5</f>
        <v>0</v>
      </c>
      <c r="S6" s="71">
        <f t="shared" ref="S6" si="5">2^(S4-1)*S5</f>
        <v>4</v>
      </c>
      <c r="T6" s="71">
        <f t="shared" ref="T6" si="6">2^(T4-1)*T5</f>
        <v>0</v>
      </c>
      <c r="U6" s="71">
        <f>2^(U4-1)*U5</f>
        <v>0</v>
      </c>
      <c r="V6" s="59"/>
      <c r="W6" s="59"/>
      <c r="X6" s="59"/>
      <c r="Y6" s="59"/>
      <c r="Z6" s="442" t="s">
        <v>110</v>
      </c>
      <c r="AA6" s="442"/>
      <c r="AB6" s="71">
        <f t="shared" ref="AB6" si="7">2^(AB4-1)*AB5</f>
        <v>64</v>
      </c>
      <c r="AC6" s="71">
        <f t="shared" ref="AC6" si="8">2^(AC4-1)*AC5</f>
        <v>32</v>
      </c>
      <c r="AD6" s="71">
        <f t="shared" ref="AD6" si="9">2^(AD4-1)*AD5</f>
        <v>0</v>
      </c>
      <c r="AE6" s="71">
        <f t="shared" ref="AE6" si="10">2^(AE4-1)*AE5</f>
        <v>8</v>
      </c>
      <c r="AF6" s="71">
        <f t="shared" ref="AF6" si="11">2^(AF4-1)*AF5</f>
        <v>4</v>
      </c>
      <c r="AG6" s="71">
        <f t="shared" ref="AG6" si="12">2^(AG4-1)*AG5</f>
        <v>0</v>
      </c>
      <c r="AH6" s="71">
        <f>2^(AH4-1)*AH5</f>
        <v>0</v>
      </c>
      <c r="AJ6" s="442" t="s">
        <v>110</v>
      </c>
      <c r="AK6" s="442"/>
      <c r="AL6" s="70">
        <f t="shared" ref="AL6" si="13">2^(AL4-1)*AL5</f>
        <v>64</v>
      </c>
      <c r="AM6" s="71">
        <f t="shared" ref="AM6" si="14">2^(AM4-1)*AM5</f>
        <v>32</v>
      </c>
      <c r="AN6" s="71">
        <f t="shared" ref="AN6" si="15">2^(AN4-1)*AN5</f>
        <v>16</v>
      </c>
      <c r="AO6" s="71">
        <f t="shared" ref="AO6" si="16">2^(AO4-1)*AO5</f>
        <v>8</v>
      </c>
      <c r="AP6" s="71">
        <f t="shared" ref="AP6" si="17">2^(AP4-1)*AP5</f>
        <v>-12</v>
      </c>
      <c r="AQ6" s="71">
        <f t="shared" ref="AQ6" si="18">2^(AQ4-1)*AQ5</f>
        <v>0</v>
      </c>
      <c r="AR6" s="71">
        <f>2^(AR4-1)*AR5</f>
        <v>0</v>
      </c>
    </row>
    <row r="7" spans="3:44" x14ac:dyDescent="0.45">
      <c r="C7" s="437" t="s">
        <v>112</v>
      </c>
      <c r="D7" s="437"/>
      <c r="E7" s="119">
        <f>SUM(E6:K6)</f>
        <v>127</v>
      </c>
      <c r="M7" s="437" t="s">
        <v>112</v>
      </c>
      <c r="N7" s="437"/>
      <c r="O7" s="119">
        <f>SUM(O6:U6)</f>
        <v>116</v>
      </c>
      <c r="Z7" s="436" t="s">
        <v>112</v>
      </c>
      <c r="AA7" s="436"/>
      <c r="AB7" s="118">
        <f>SUM(AB6:AH6)</f>
        <v>108</v>
      </c>
      <c r="AJ7" s="436" t="s">
        <v>112</v>
      </c>
      <c r="AK7" s="436"/>
      <c r="AL7" s="118">
        <f>SUM(AL6:AR6)</f>
        <v>108</v>
      </c>
    </row>
    <row r="9" spans="3:44" x14ac:dyDescent="0.45">
      <c r="C9" s="434" t="s">
        <v>108</v>
      </c>
      <c r="D9" s="434"/>
      <c r="E9" s="434"/>
      <c r="F9" s="434"/>
      <c r="G9" s="434"/>
      <c r="H9" s="434"/>
      <c r="I9" s="434"/>
      <c r="J9" s="434"/>
      <c r="K9" s="434"/>
      <c r="Z9" s="434" t="s">
        <v>108</v>
      </c>
      <c r="AA9" s="434"/>
      <c r="AB9" s="434"/>
      <c r="AC9" s="434"/>
      <c r="AD9" s="434"/>
      <c r="AE9" s="434"/>
      <c r="AF9" s="434"/>
      <c r="AG9" s="434"/>
      <c r="AH9" s="434"/>
    </row>
    <row r="10" spans="3:44" x14ac:dyDescent="0.45">
      <c r="C10" s="435" t="s">
        <v>111</v>
      </c>
      <c r="D10" s="435"/>
      <c r="E10" s="69">
        <v>7</v>
      </c>
      <c r="F10" s="69">
        <v>6</v>
      </c>
      <c r="G10" s="69">
        <v>5</v>
      </c>
      <c r="H10" s="69">
        <v>4</v>
      </c>
      <c r="I10" s="69">
        <v>3</v>
      </c>
      <c r="J10" s="69">
        <v>2</v>
      </c>
      <c r="K10" s="69">
        <v>1</v>
      </c>
      <c r="Z10" s="435" t="s">
        <v>111</v>
      </c>
      <c r="AA10" s="435"/>
      <c r="AB10" s="69">
        <v>7</v>
      </c>
      <c r="AC10" s="69">
        <v>6</v>
      </c>
      <c r="AD10" s="69">
        <v>5</v>
      </c>
      <c r="AE10" s="69">
        <v>4</v>
      </c>
      <c r="AF10" s="69">
        <v>3</v>
      </c>
      <c r="AG10" s="69">
        <v>2</v>
      </c>
      <c r="AH10" s="69">
        <v>1</v>
      </c>
    </row>
    <row r="11" spans="3:44" x14ac:dyDescent="0.45">
      <c r="C11" s="435" t="s">
        <v>204</v>
      </c>
      <c r="D11" s="435"/>
      <c r="E11" s="120">
        <v>1</v>
      </c>
      <c r="F11" s="120">
        <v>1</v>
      </c>
      <c r="G11" s="120">
        <v>1</v>
      </c>
      <c r="H11" s="120">
        <v>1</v>
      </c>
      <c r="I11" s="120">
        <v>1</v>
      </c>
      <c r="J11" s="120">
        <v>1</v>
      </c>
      <c r="K11" s="120">
        <v>1</v>
      </c>
      <c r="Z11" s="435" t="s">
        <v>204</v>
      </c>
      <c r="AA11" s="435"/>
      <c r="AB11" s="120">
        <v>0</v>
      </c>
      <c r="AC11" s="120">
        <v>1</v>
      </c>
      <c r="AD11" s="120">
        <v>1</v>
      </c>
      <c r="AE11" s="120">
        <v>0</v>
      </c>
      <c r="AF11" s="120">
        <v>1</v>
      </c>
      <c r="AG11" s="120">
        <v>1</v>
      </c>
      <c r="AH11" s="120">
        <v>0</v>
      </c>
    </row>
    <row r="12" spans="3:44" x14ac:dyDescent="0.45">
      <c r="C12" s="436" t="s">
        <v>110</v>
      </c>
      <c r="D12" s="436"/>
      <c r="E12" s="71">
        <v>64</v>
      </c>
      <c r="F12" s="71">
        <v>32</v>
      </c>
      <c r="G12" s="71">
        <v>16</v>
      </c>
      <c r="H12" s="71">
        <v>8</v>
      </c>
      <c r="I12" s="71">
        <v>4</v>
      </c>
      <c r="J12" s="71">
        <v>2</v>
      </c>
      <c r="K12" s="71">
        <v>1</v>
      </c>
      <c r="Z12" s="436" t="s">
        <v>110</v>
      </c>
      <c r="AA12" s="436"/>
      <c r="AB12" s="71">
        <f t="shared" ref="AB12" si="19">2^(AB10-1)*AB11</f>
        <v>0</v>
      </c>
      <c r="AC12" s="71">
        <f t="shared" ref="AC12" si="20">2^(AC10-1)*AC11</f>
        <v>32</v>
      </c>
      <c r="AD12" s="71">
        <f t="shared" ref="AD12" si="21">2^(AD10-1)*AD11</f>
        <v>16</v>
      </c>
      <c r="AE12" s="71">
        <f t="shared" ref="AE12" si="22">2^(AE10-1)*AE11</f>
        <v>0</v>
      </c>
      <c r="AF12" s="71">
        <f t="shared" ref="AF12" si="23">2^(AF10-1)*AF11</f>
        <v>4</v>
      </c>
      <c r="AG12" s="71">
        <f t="shared" ref="AG12" si="24">2^(AG10-1)*AG11</f>
        <v>2</v>
      </c>
      <c r="AH12" s="71">
        <f>2^(AH10-1)*AH11</f>
        <v>0</v>
      </c>
    </row>
    <row r="13" spans="3:44" x14ac:dyDescent="0.45">
      <c r="C13" s="437" t="s">
        <v>112</v>
      </c>
      <c r="D13" s="437"/>
      <c r="E13" s="119">
        <f>SUM(E12:K12)</f>
        <v>127</v>
      </c>
      <c r="Z13" s="437" t="s">
        <v>112</v>
      </c>
      <c r="AA13" s="437"/>
      <c r="AB13" s="119">
        <f>SUM(AB12:AH12)</f>
        <v>54</v>
      </c>
    </row>
    <row r="16" spans="3:44" x14ac:dyDescent="0.45">
      <c r="AA16" s="60"/>
    </row>
    <row r="17" spans="2:37" x14ac:dyDescent="0.45">
      <c r="B17" s="60" t="s">
        <v>109</v>
      </c>
      <c r="C17" s="441" t="s">
        <v>113</v>
      </c>
      <c r="D17" s="441"/>
      <c r="E17" s="441"/>
      <c r="F17" s="441"/>
      <c r="G17" s="441"/>
      <c r="I17" s="438" t="s">
        <v>89</v>
      </c>
      <c r="J17" s="439"/>
      <c r="K17" s="439"/>
      <c r="L17" s="439"/>
      <c r="M17" s="440"/>
      <c r="O17" s="441" t="s">
        <v>114</v>
      </c>
      <c r="P17" s="441"/>
      <c r="Q17" s="441"/>
      <c r="R17" s="441"/>
      <c r="S17" s="441"/>
      <c r="U17" s="438" t="s">
        <v>89</v>
      </c>
      <c r="V17" s="439"/>
      <c r="W17" s="439"/>
      <c r="X17" s="439"/>
      <c r="Y17" s="440"/>
      <c r="Z17" s="59"/>
      <c r="AA17" s="441" t="s">
        <v>269</v>
      </c>
      <c r="AB17" s="441"/>
      <c r="AC17" s="441"/>
      <c r="AD17" s="441"/>
      <c r="AE17" s="441"/>
      <c r="AF17" s="60"/>
      <c r="AG17" s="438" t="s">
        <v>89</v>
      </c>
      <c r="AH17" s="439"/>
      <c r="AI17" s="439"/>
      <c r="AJ17" s="439"/>
      <c r="AK17" s="440"/>
    </row>
    <row r="18" spans="2:37" x14ac:dyDescent="0.45">
      <c r="B18" s="60">
        <v>1</v>
      </c>
      <c r="C18" s="72">
        <v>109</v>
      </c>
      <c r="D18" s="63" t="s">
        <v>39</v>
      </c>
      <c r="E18" s="63">
        <f>ROUNDUP(C18/2,0)</f>
        <v>55</v>
      </c>
      <c r="F18" s="63" t="s">
        <v>40</v>
      </c>
      <c r="G18" s="63">
        <f>ROUNDDOWN(C18/2,0)</f>
        <v>54</v>
      </c>
      <c r="H18" s="68"/>
      <c r="I18" s="65"/>
      <c r="J18" s="64"/>
      <c r="K18" s="64"/>
      <c r="L18" s="64"/>
      <c r="M18" s="66"/>
      <c r="N18" s="67"/>
      <c r="O18" s="63">
        <v>107</v>
      </c>
      <c r="P18" s="63" t="s">
        <v>39</v>
      </c>
      <c r="Q18" s="63">
        <f>ROUNDUP(O18/2,0)</f>
        <v>54</v>
      </c>
      <c r="R18" s="63" t="s">
        <v>40</v>
      </c>
      <c r="S18" s="63">
        <f>ROUNDDOWN(O18/2,0)</f>
        <v>53</v>
      </c>
      <c r="U18" s="65"/>
      <c r="V18" s="64"/>
      <c r="W18" s="64"/>
      <c r="X18" s="64"/>
      <c r="Y18" s="66"/>
      <c r="Z18" s="59"/>
      <c r="AA18" s="63">
        <f>Y23</f>
        <v>105</v>
      </c>
      <c r="AB18" s="63" t="s">
        <v>39</v>
      </c>
      <c r="AC18" s="63">
        <f>ROUNDUP(AA18/2,0)</f>
        <v>53</v>
      </c>
      <c r="AD18" s="63" t="s">
        <v>40</v>
      </c>
      <c r="AE18" s="63">
        <f>ROUNDDOWN(AA18/2,0)</f>
        <v>52</v>
      </c>
      <c r="AF18" s="60"/>
      <c r="AG18" s="65"/>
      <c r="AH18" s="64"/>
      <c r="AI18" s="64"/>
      <c r="AJ18" s="64"/>
      <c r="AK18" s="66"/>
    </row>
    <row r="19" spans="2:37" x14ac:dyDescent="0.45">
      <c r="B19" s="60">
        <v>2</v>
      </c>
      <c r="C19" s="62">
        <f>E18</f>
        <v>55</v>
      </c>
      <c r="D19" s="62" t="s">
        <v>39</v>
      </c>
      <c r="E19" s="62">
        <f>ROUNDUP(C19/2,0)</f>
        <v>28</v>
      </c>
      <c r="F19" s="62" t="s">
        <v>40</v>
      </c>
      <c r="G19" s="62">
        <f>ROUNDDOWN(C19/2,0)</f>
        <v>27</v>
      </c>
      <c r="H19" s="68"/>
      <c r="I19" s="63">
        <f>S19</f>
        <v>27</v>
      </c>
      <c r="J19" s="63" t="s">
        <v>40</v>
      </c>
      <c r="K19" s="63">
        <f>G18</f>
        <v>54</v>
      </c>
      <c r="L19" s="63" t="s">
        <v>39</v>
      </c>
      <c r="M19" s="63">
        <f>K19+I19</f>
        <v>81</v>
      </c>
      <c r="N19" s="68"/>
      <c r="O19" s="62">
        <f>Q18</f>
        <v>54</v>
      </c>
      <c r="P19" s="62" t="s">
        <v>39</v>
      </c>
      <c r="Q19" s="62">
        <f>ROUNDUP(O19/2,0)</f>
        <v>27</v>
      </c>
      <c r="R19" s="62" t="s">
        <v>40</v>
      </c>
      <c r="S19" s="62">
        <f>ROUNDDOWN(O19/2,0)</f>
        <v>27</v>
      </c>
      <c r="U19" s="63">
        <f>S19</f>
        <v>27</v>
      </c>
      <c r="V19" s="63" t="s">
        <v>40</v>
      </c>
      <c r="W19" s="63">
        <f>S18</f>
        <v>53</v>
      </c>
      <c r="X19" s="63" t="s">
        <v>39</v>
      </c>
      <c r="Y19" s="63">
        <f>W19+U19</f>
        <v>80</v>
      </c>
      <c r="Z19" s="59"/>
      <c r="AA19" s="62">
        <f>AC18</f>
        <v>53</v>
      </c>
      <c r="AB19" s="62" t="s">
        <v>39</v>
      </c>
      <c r="AC19" s="62">
        <f>ROUNDUP(AA19/2,0)</f>
        <v>27</v>
      </c>
      <c r="AD19" s="62" t="s">
        <v>40</v>
      </c>
      <c r="AE19" s="62">
        <f>ROUNDDOWN(AA19/2,0)</f>
        <v>26</v>
      </c>
      <c r="AF19" s="60"/>
      <c r="AG19" s="63">
        <f>AE19</f>
        <v>26</v>
      </c>
      <c r="AH19" s="63" t="s">
        <v>40</v>
      </c>
      <c r="AI19" s="63">
        <f>AE18</f>
        <v>52</v>
      </c>
      <c r="AJ19" s="63" t="s">
        <v>39</v>
      </c>
      <c r="AK19" s="63">
        <f>AI19+AG19</f>
        <v>78</v>
      </c>
    </row>
    <row r="20" spans="2:37" x14ac:dyDescent="0.45">
      <c r="B20" s="60">
        <v>3</v>
      </c>
      <c r="C20" s="62">
        <f t="shared" ref="C20:C22" si="25">E19</f>
        <v>28</v>
      </c>
      <c r="D20" s="62" t="s">
        <v>39</v>
      </c>
      <c r="E20" s="62">
        <f t="shared" ref="E20:E22" si="26">ROUNDUP(C20/2,0)</f>
        <v>14</v>
      </c>
      <c r="F20" s="62" t="s">
        <v>40</v>
      </c>
      <c r="G20" s="62">
        <f t="shared" ref="G20:G22" si="27">ROUNDDOWN(C20/2,0)</f>
        <v>14</v>
      </c>
      <c r="H20" s="68"/>
      <c r="I20" s="62">
        <f>G20</f>
        <v>14</v>
      </c>
      <c r="J20" s="62" t="s">
        <v>40</v>
      </c>
      <c r="K20" s="62">
        <f>M19</f>
        <v>81</v>
      </c>
      <c r="L20" s="62" t="s">
        <v>39</v>
      </c>
      <c r="M20" s="62">
        <f>K20+I20</f>
        <v>95</v>
      </c>
      <c r="N20" s="68"/>
      <c r="O20" s="62">
        <f t="shared" ref="O20:O22" si="28">Q19</f>
        <v>27</v>
      </c>
      <c r="P20" s="62" t="s">
        <v>39</v>
      </c>
      <c r="Q20" s="62">
        <f t="shared" ref="Q20:Q22" si="29">ROUNDUP(O20/2,0)</f>
        <v>14</v>
      </c>
      <c r="R20" s="62" t="s">
        <v>40</v>
      </c>
      <c r="S20" s="62">
        <f t="shared" ref="S20:S22" si="30">ROUNDDOWN(O20/2,0)</f>
        <v>13</v>
      </c>
      <c r="U20" s="63">
        <f t="shared" ref="U20:U23" si="31">S20</f>
        <v>13</v>
      </c>
      <c r="V20" s="62" t="s">
        <v>40</v>
      </c>
      <c r="W20" s="62">
        <f>Y19</f>
        <v>80</v>
      </c>
      <c r="X20" s="62" t="s">
        <v>39</v>
      </c>
      <c r="Y20" s="62">
        <f>W20+U20</f>
        <v>93</v>
      </c>
      <c r="Z20" s="59"/>
      <c r="AA20" s="62">
        <f t="shared" ref="AA20:AA22" si="32">AC19</f>
        <v>27</v>
      </c>
      <c r="AB20" s="62" t="s">
        <v>39</v>
      </c>
      <c r="AC20" s="62">
        <f t="shared" ref="AC20:AC22" si="33">ROUNDUP(AA20/2,0)</f>
        <v>14</v>
      </c>
      <c r="AD20" s="62" t="s">
        <v>40</v>
      </c>
      <c r="AE20" s="62">
        <f t="shared" ref="AE20:AE22" si="34">ROUNDDOWN(AA20/2,0)</f>
        <v>13</v>
      </c>
      <c r="AF20" s="60"/>
      <c r="AG20" s="63">
        <f t="shared" ref="AG20:AG23" si="35">AE20</f>
        <v>13</v>
      </c>
      <c r="AH20" s="62" t="s">
        <v>40</v>
      </c>
      <c r="AI20" s="62">
        <f>AK19</f>
        <v>78</v>
      </c>
      <c r="AJ20" s="62" t="s">
        <v>39</v>
      </c>
      <c r="AK20" s="62">
        <f>AI20+AG20</f>
        <v>91</v>
      </c>
    </row>
    <row r="21" spans="2:37" x14ac:dyDescent="0.45">
      <c r="B21" s="60">
        <v>4</v>
      </c>
      <c r="C21" s="62">
        <f t="shared" si="25"/>
        <v>14</v>
      </c>
      <c r="D21" s="62" t="s">
        <v>39</v>
      </c>
      <c r="E21" s="62">
        <f t="shared" si="26"/>
        <v>7</v>
      </c>
      <c r="F21" s="62" t="s">
        <v>40</v>
      </c>
      <c r="G21" s="62">
        <f t="shared" si="27"/>
        <v>7</v>
      </c>
      <c r="H21" s="68"/>
      <c r="I21" s="62">
        <f>G21</f>
        <v>7</v>
      </c>
      <c r="J21" s="62" t="s">
        <v>40</v>
      </c>
      <c r="K21" s="62">
        <f>M20</f>
        <v>95</v>
      </c>
      <c r="L21" s="62" t="s">
        <v>39</v>
      </c>
      <c r="M21" s="62">
        <f>K21+I21</f>
        <v>102</v>
      </c>
      <c r="N21" s="68"/>
      <c r="O21" s="62">
        <f t="shared" si="28"/>
        <v>14</v>
      </c>
      <c r="P21" s="62" t="s">
        <v>39</v>
      </c>
      <c r="Q21" s="62">
        <f t="shared" si="29"/>
        <v>7</v>
      </c>
      <c r="R21" s="62" t="s">
        <v>40</v>
      </c>
      <c r="S21" s="62">
        <f t="shared" si="30"/>
        <v>7</v>
      </c>
      <c r="U21" s="63">
        <f t="shared" si="31"/>
        <v>7</v>
      </c>
      <c r="V21" s="62" t="s">
        <v>40</v>
      </c>
      <c r="W21" s="62">
        <f>Y20</f>
        <v>93</v>
      </c>
      <c r="X21" s="62" t="s">
        <v>39</v>
      </c>
      <c r="Y21" s="62">
        <f>W21+U21</f>
        <v>100</v>
      </c>
      <c r="Z21" s="59"/>
      <c r="AA21" s="62">
        <f t="shared" si="32"/>
        <v>14</v>
      </c>
      <c r="AB21" s="62" t="s">
        <v>39</v>
      </c>
      <c r="AC21" s="62">
        <f t="shared" si="33"/>
        <v>7</v>
      </c>
      <c r="AD21" s="62" t="s">
        <v>40</v>
      </c>
      <c r="AE21" s="62">
        <f t="shared" si="34"/>
        <v>7</v>
      </c>
      <c r="AF21" s="60"/>
      <c r="AG21" s="63">
        <f t="shared" si="35"/>
        <v>7</v>
      </c>
      <c r="AH21" s="62" t="s">
        <v>40</v>
      </c>
      <c r="AI21" s="62">
        <f>AK20</f>
        <v>91</v>
      </c>
      <c r="AJ21" s="62" t="s">
        <v>39</v>
      </c>
      <c r="AK21" s="62">
        <f>AI21+AG21</f>
        <v>98</v>
      </c>
    </row>
    <row r="22" spans="2:37" x14ac:dyDescent="0.45">
      <c r="B22" s="60">
        <v>5</v>
      </c>
      <c r="C22" s="62">
        <f t="shared" si="25"/>
        <v>7</v>
      </c>
      <c r="D22" s="62" t="s">
        <v>39</v>
      </c>
      <c r="E22" s="62">
        <f t="shared" si="26"/>
        <v>4</v>
      </c>
      <c r="F22" s="62" t="s">
        <v>40</v>
      </c>
      <c r="G22" s="62">
        <f t="shared" si="27"/>
        <v>3</v>
      </c>
      <c r="H22" s="68"/>
      <c r="I22" s="62">
        <f>G22</f>
        <v>3</v>
      </c>
      <c r="J22" s="62" t="s">
        <v>40</v>
      </c>
      <c r="K22" s="62">
        <f>M21</f>
        <v>102</v>
      </c>
      <c r="L22" s="62" t="s">
        <v>39</v>
      </c>
      <c r="M22" s="62">
        <f>K22+I22</f>
        <v>105</v>
      </c>
      <c r="N22" s="68"/>
      <c r="O22" s="62">
        <f t="shared" si="28"/>
        <v>7</v>
      </c>
      <c r="P22" s="62" t="s">
        <v>39</v>
      </c>
      <c r="Q22" s="62">
        <f t="shared" si="29"/>
        <v>4</v>
      </c>
      <c r="R22" s="62" t="s">
        <v>40</v>
      </c>
      <c r="S22" s="62">
        <f t="shared" si="30"/>
        <v>3</v>
      </c>
      <c r="U22" s="63">
        <f t="shared" si="31"/>
        <v>3</v>
      </c>
      <c r="V22" s="62" t="s">
        <v>40</v>
      </c>
      <c r="W22" s="62">
        <f>Y21</f>
        <v>100</v>
      </c>
      <c r="X22" s="62" t="s">
        <v>39</v>
      </c>
      <c r="Y22" s="62">
        <f>W22+U22</f>
        <v>103</v>
      </c>
      <c r="Z22" s="59"/>
      <c r="AA22" s="62">
        <f t="shared" si="32"/>
        <v>7</v>
      </c>
      <c r="AB22" s="62" t="s">
        <v>39</v>
      </c>
      <c r="AC22" s="62">
        <f t="shared" si="33"/>
        <v>4</v>
      </c>
      <c r="AD22" s="62" t="s">
        <v>40</v>
      </c>
      <c r="AE22" s="62">
        <f t="shared" si="34"/>
        <v>3</v>
      </c>
      <c r="AF22" s="60"/>
      <c r="AG22" s="63">
        <f t="shared" si="35"/>
        <v>3</v>
      </c>
      <c r="AH22" s="62" t="s">
        <v>40</v>
      </c>
      <c r="AI22" s="62">
        <f>AK21</f>
        <v>98</v>
      </c>
      <c r="AJ22" s="62" t="s">
        <v>39</v>
      </c>
      <c r="AK22" s="62">
        <f>AI22+AG22</f>
        <v>101</v>
      </c>
    </row>
    <row r="23" spans="2:37" x14ac:dyDescent="0.45">
      <c r="B23" s="60">
        <v>6</v>
      </c>
      <c r="C23" s="62">
        <f>E22</f>
        <v>4</v>
      </c>
      <c r="D23" s="62" t="s">
        <v>39</v>
      </c>
      <c r="E23" s="62">
        <f>ROUNDUP(C23/2,0)</f>
        <v>2</v>
      </c>
      <c r="F23" s="62" t="s">
        <v>40</v>
      </c>
      <c r="G23" s="62">
        <f>ROUNDDOWN(C23/2,0)</f>
        <v>2</v>
      </c>
      <c r="H23" s="68"/>
      <c r="I23" s="61">
        <f>G23</f>
        <v>2</v>
      </c>
      <c r="J23" s="61" t="s">
        <v>40</v>
      </c>
      <c r="K23" s="61">
        <f>M22</f>
        <v>105</v>
      </c>
      <c r="L23" s="61" t="s">
        <v>39</v>
      </c>
      <c r="M23" s="61">
        <f>K23+I23</f>
        <v>107</v>
      </c>
      <c r="N23" s="68"/>
      <c r="O23" s="62">
        <f>Q22</f>
        <v>4</v>
      </c>
      <c r="P23" s="62" t="s">
        <v>39</v>
      </c>
      <c r="Q23" s="62">
        <f>ROUNDUP(O23/2,0)</f>
        <v>2</v>
      </c>
      <c r="R23" s="62" t="s">
        <v>40</v>
      </c>
      <c r="S23" s="62">
        <f>ROUNDDOWN(O23/2,0)</f>
        <v>2</v>
      </c>
      <c r="U23" s="61">
        <f t="shared" si="31"/>
        <v>2</v>
      </c>
      <c r="V23" s="61" t="s">
        <v>40</v>
      </c>
      <c r="W23" s="61">
        <f>Y22</f>
        <v>103</v>
      </c>
      <c r="X23" s="61" t="s">
        <v>39</v>
      </c>
      <c r="Y23" s="61">
        <f>W23+U23</f>
        <v>105</v>
      </c>
      <c r="Z23" s="59"/>
      <c r="AA23" s="62">
        <f>AC22</f>
        <v>4</v>
      </c>
      <c r="AB23" s="62" t="s">
        <v>39</v>
      </c>
      <c r="AC23" s="62">
        <f>ROUNDUP(AA23/2,0)</f>
        <v>2</v>
      </c>
      <c r="AD23" s="62" t="s">
        <v>40</v>
      </c>
      <c r="AE23" s="62">
        <f>ROUNDDOWN(AA23/2,0)</f>
        <v>2</v>
      </c>
      <c r="AF23" s="60"/>
      <c r="AG23" s="61">
        <f t="shared" si="35"/>
        <v>2</v>
      </c>
      <c r="AH23" s="61" t="s">
        <v>40</v>
      </c>
      <c r="AI23" s="61">
        <f>AK22</f>
        <v>101</v>
      </c>
      <c r="AJ23" s="61" t="s">
        <v>39</v>
      </c>
      <c r="AK23" s="61">
        <f>AI23+AG23</f>
        <v>103</v>
      </c>
    </row>
    <row r="24" spans="2:37" x14ac:dyDescent="0.45">
      <c r="B24" s="60">
        <v>7</v>
      </c>
      <c r="C24" s="61">
        <f t="shared" ref="C24" si="36">E23</f>
        <v>2</v>
      </c>
      <c r="D24" s="61" t="s">
        <v>39</v>
      </c>
      <c r="E24" s="61">
        <f t="shared" ref="E24" si="37">ROUNDUP(C24/2,0)</f>
        <v>1</v>
      </c>
      <c r="F24" s="61" t="s">
        <v>40</v>
      </c>
      <c r="G24" s="61">
        <f t="shared" ref="G24" si="38">ROUNDDOWN(C24/2,0)</f>
        <v>1</v>
      </c>
      <c r="H24" s="68"/>
      <c r="M24" s="59"/>
      <c r="N24" s="59"/>
      <c r="O24" s="61">
        <f t="shared" ref="O24" si="39">Q23</f>
        <v>2</v>
      </c>
      <c r="P24" s="61" t="s">
        <v>39</v>
      </c>
      <c r="Q24" s="61">
        <f t="shared" ref="Q24" si="40">ROUNDUP(O24/2,0)</f>
        <v>1</v>
      </c>
      <c r="R24" s="61" t="s">
        <v>40</v>
      </c>
      <c r="S24" s="61">
        <f t="shared" ref="S24" si="41">ROUNDDOWN(O24/2,0)</f>
        <v>1</v>
      </c>
      <c r="Z24" s="59"/>
      <c r="AA24" s="61">
        <f t="shared" ref="AA24" si="42">AC23</f>
        <v>2</v>
      </c>
      <c r="AB24" s="61" t="s">
        <v>39</v>
      </c>
      <c r="AC24" s="61">
        <f t="shared" ref="AC24" si="43">ROUNDUP(AA24/2,0)</f>
        <v>1</v>
      </c>
      <c r="AD24" s="61" t="s">
        <v>40</v>
      </c>
      <c r="AE24" s="61">
        <f t="shared" ref="AE24" si="44">ROUNDDOWN(AA24/2,0)</f>
        <v>1</v>
      </c>
      <c r="AF24" s="60"/>
      <c r="AG24" s="60"/>
      <c r="AH24" s="60"/>
      <c r="AI24" s="60"/>
      <c r="AJ24" s="60"/>
      <c r="AK24" s="60"/>
    </row>
  </sheetData>
  <mergeCells count="37">
    <mergeCell ref="C17:G17"/>
    <mergeCell ref="Z3:AH3"/>
    <mergeCell ref="Z4:AA4"/>
    <mergeCell ref="Z6:AA6"/>
    <mergeCell ref="Z7:AA7"/>
    <mergeCell ref="Z9:AH9"/>
    <mergeCell ref="Z10:AA10"/>
    <mergeCell ref="Z12:AA12"/>
    <mergeCell ref="Z13:AA13"/>
    <mergeCell ref="C5:D5"/>
    <mergeCell ref="M5:N5"/>
    <mergeCell ref="Z5:AA5"/>
    <mergeCell ref="C11:D11"/>
    <mergeCell ref="Z11:AA11"/>
    <mergeCell ref="U17:Y17"/>
    <mergeCell ref="AA17:AE17"/>
    <mergeCell ref="AG17:AK17"/>
    <mergeCell ref="M3:U3"/>
    <mergeCell ref="M4:N4"/>
    <mergeCell ref="M6:N6"/>
    <mergeCell ref="M7:N7"/>
    <mergeCell ref="O17:S17"/>
    <mergeCell ref="I17:M17"/>
    <mergeCell ref="AJ3:AR3"/>
    <mergeCell ref="AJ4:AK4"/>
    <mergeCell ref="AJ6:AK6"/>
    <mergeCell ref="AJ7:AK7"/>
    <mergeCell ref="AJ5:AK5"/>
    <mergeCell ref="M2:U2"/>
    <mergeCell ref="C9:K9"/>
    <mergeCell ref="C10:D10"/>
    <mergeCell ref="C12:D12"/>
    <mergeCell ref="C13:D13"/>
    <mergeCell ref="C3:K3"/>
    <mergeCell ref="C4:D4"/>
    <mergeCell ref="C6:D6"/>
    <mergeCell ref="C7:D7"/>
  </mergeCells>
  <phoneticPr fontId="2"/>
  <pageMargins left="0.7" right="0.7" top="0.75" bottom="0.75" header="0.3" footer="0.3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25E7C-240B-488C-B934-A734C490955E}">
  <dimension ref="B1:AJ19"/>
  <sheetViews>
    <sheetView showGridLines="0" workbookViewId="0"/>
  </sheetViews>
  <sheetFormatPr defaultColWidth="4.59765625" defaultRowHeight="22.2" x14ac:dyDescent="0.45"/>
  <cols>
    <col min="1" max="16384" width="4.59765625" style="235"/>
  </cols>
  <sheetData>
    <row r="1" spans="2:36" ht="22.8" thickBot="1" x14ac:dyDescent="0.5"/>
    <row r="2" spans="2:36" x14ac:dyDescent="0.45">
      <c r="S2" s="443" t="s">
        <v>261</v>
      </c>
      <c r="T2" s="444"/>
      <c r="U2" s="444"/>
      <c r="V2" s="444"/>
      <c r="W2" s="444"/>
      <c r="X2" s="444"/>
      <c r="Y2" s="444"/>
      <c r="Z2" s="445"/>
      <c r="AC2" s="443" t="s">
        <v>262</v>
      </c>
      <c r="AD2" s="444"/>
      <c r="AE2" s="444"/>
      <c r="AF2" s="444"/>
      <c r="AG2" s="444"/>
      <c r="AH2" s="444"/>
      <c r="AI2" s="444"/>
      <c r="AJ2" s="445"/>
    </row>
    <row r="3" spans="2:36" ht="24.6" x14ac:dyDescent="0.45">
      <c r="B3" s="235" t="s">
        <v>218</v>
      </c>
      <c r="D3" s="244" t="s">
        <v>264</v>
      </c>
      <c r="K3" s="1">
        <v>78</v>
      </c>
      <c r="L3" s="1" t="s">
        <v>39</v>
      </c>
      <c r="M3" s="1">
        <v>17</v>
      </c>
      <c r="N3" s="1" t="s">
        <v>91</v>
      </c>
      <c r="O3" s="1">
        <v>4</v>
      </c>
      <c r="P3" s="1" t="s">
        <v>40</v>
      </c>
      <c r="Q3" s="235">
        <v>10</v>
      </c>
      <c r="S3" s="219" t="s">
        <v>257</v>
      </c>
      <c r="T3" s="218"/>
      <c r="U3" s="446" t="s">
        <v>39</v>
      </c>
      <c r="V3" s="216" t="s">
        <v>258</v>
      </c>
      <c r="W3" s="141"/>
      <c r="X3" s="233" t="s">
        <v>40</v>
      </c>
      <c r="Y3" s="216" t="s">
        <v>259</v>
      </c>
      <c r="Z3" s="220"/>
      <c r="AC3" s="221" t="s">
        <v>258</v>
      </c>
      <c r="AD3" s="141"/>
      <c r="AE3" s="233" t="s">
        <v>40</v>
      </c>
      <c r="AF3" s="216" t="s">
        <v>259</v>
      </c>
      <c r="AG3" s="141"/>
      <c r="AH3" s="233" t="s">
        <v>39</v>
      </c>
      <c r="AI3" s="215" t="s">
        <v>257</v>
      </c>
      <c r="AJ3" s="181"/>
    </row>
    <row r="4" spans="2:36" x14ac:dyDescent="0.45">
      <c r="D4" s="236" t="s">
        <v>3</v>
      </c>
      <c r="K4" s="1"/>
      <c r="L4" s="1"/>
      <c r="M4" s="1"/>
      <c r="N4" s="1"/>
      <c r="O4" s="1"/>
      <c r="P4" s="1"/>
      <c r="S4" s="221" t="s">
        <v>263</v>
      </c>
      <c r="T4" s="141"/>
      <c r="U4" s="446"/>
      <c r="V4" s="215" t="s">
        <v>263</v>
      </c>
      <c r="W4" s="217"/>
      <c r="X4" s="222"/>
      <c r="Y4" s="233"/>
      <c r="Z4" s="223"/>
      <c r="AC4" s="221" t="s">
        <v>263</v>
      </c>
      <c r="AD4" s="217"/>
      <c r="AE4" s="222"/>
      <c r="AF4" s="233"/>
      <c r="AG4" s="233"/>
      <c r="AH4" s="233"/>
      <c r="AI4" s="231" t="s">
        <v>263</v>
      </c>
      <c r="AJ4" s="232"/>
    </row>
    <row r="5" spans="2:36" x14ac:dyDescent="0.45">
      <c r="K5" s="1"/>
      <c r="L5" s="1"/>
      <c r="M5" s="1"/>
      <c r="N5" s="1"/>
      <c r="O5" s="1"/>
      <c r="P5" s="1"/>
      <c r="S5" s="224"/>
      <c r="T5" s="233"/>
      <c r="U5" s="233"/>
      <c r="V5" s="233"/>
      <c r="W5" s="233"/>
      <c r="X5" s="233"/>
      <c r="Y5" s="233"/>
      <c r="Z5" s="223"/>
      <c r="AC5" s="224"/>
      <c r="AD5" s="233"/>
      <c r="AE5" s="233"/>
      <c r="AF5" s="233"/>
      <c r="AG5" s="233"/>
      <c r="AH5" s="233"/>
      <c r="AI5" s="233"/>
      <c r="AJ5" s="223"/>
    </row>
    <row r="6" spans="2:36" ht="24.6" x14ac:dyDescent="0.45">
      <c r="B6" s="235" t="s">
        <v>219</v>
      </c>
      <c r="D6" s="198" t="s">
        <v>265</v>
      </c>
      <c r="K6" s="1"/>
      <c r="L6" s="1"/>
      <c r="M6" s="1"/>
      <c r="N6" s="1"/>
      <c r="O6" s="1"/>
      <c r="P6" s="1"/>
      <c r="S6" s="225" t="s">
        <v>260</v>
      </c>
      <c r="T6" s="140"/>
      <c r="U6" s="446" t="s">
        <v>39</v>
      </c>
      <c r="V6" s="214" t="s">
        <v>260</v>
      </c>
      <c r="W6" s="140"/>
      <c r="X6" s="233"/>
      <c r="Y6" s="233"/>
      <c r="Z6" s="223"/>
      <c r="AC6" s="225" t="s">
        <v>260</v>
      </c>
      <c r="AD6" s="140"/>
      <c r="AE6" s="233"/>
      <c r="AF6" s="233"/>
      <c r="AG6" s="233"/>
      <c r="AH6" s="233"/>
      <c r="AI6" s="233"/>
      <c r="AJ6" s="223"/>
    </row>
    <row r="7" spans="2:36" ht="22.8" thickBot="1" x14ac:dyDescent="0.5">
      <c r="K7" s="1"/>
      <c r="L7" s="1"/>
      <c r="M7" s="1"/>
      <c r="N7" s="1"/>
      <c r="O7" s="1"/>
      <c r="P7" s="1"/>
      <c r="S7" s="221" t="s">
        <v>263</v>
      </c>
      <c r="T7" s="226"/>
      <c r="U7" s="447"/>
      <c r="V7" s="227" t="s">
        <v>263</v>
      </c>
      <c r="W7" s="228"/>
      <c r="X7" s="234"/>
      <c r="Y7" s="234"/>
      <c r="Z7" s="230"/>
      <c r="AC7" s="221" t="s">
        <v>263</v>
      </c>
      <c r="AD7" s="228"/>
      <c r="AE7" s="234"/>
      <c r="AF7" s="234"/>
      <c r="AG7" s="234"/>
      <c r="AH7" s="234"/>
      <c r="AI7" s="234"/>
      <c r="AJ7" s="230"/>
    </row>
    <row r="10" spans="2:36" x14ac:dyDescent="0.45">
      <c r="K10" s="235">
        <v>17</v>
      </c>
      <c r="L10" s="235" t="s">
        <v>212</v>
      </c>
      <c r="M10" s="235">
        <v>9</v>
      </c>
      <c r="N10" s="235" t="s">
        <v>213</v>
      </c>
      <c r="O10" s="235">
        <v>8</v>
      </c>
      <c r="S10" s="237"/>
      <c r="T10" s="238"/>
      <c r="U10" s="238"/>
      <c r="V10" s="238"/>
      <c r="W10" s="238"/>
      <c r="X10" s="238"/>
      <c r="Y10" s="238"/>
      <c r="Z10" s="238"/>
      <c r="AA10" s="238"/>
      <c r="AB10" s="239"/>
    </row>
    <row r="11" spans="2:36" x14ac:dyDescent="0.45">
      <c r="K11" s="235">
        <v>8</v>
      </c>
      <c r="L11" s="235" t="s">
        <v>212</v>
      </c>
      <c r="M11" s="235">
        <v>4</v>
      </c>
      <c r="N11" s="235" t="s">
        <v>213</v>
      </c>
      <c r="O11" s="235">
        <v>4</v>
      </c>
      <c r="S11" s="205"/>
      <c r="T11" s="240"/>
      <c r="U11" s="240"/>
      <c r="V11" s="240"/>
      <c r="W11" s="240"/>
      <c r="X11" s="240"/>
      <c r="Y11" s="240"/>
      <c r="Z11" s="240"/>
      <c r="AA11" s="240"/>
      <c r="AB11" s="206"/>
    </row>
    <row r="12" spans="2:36" x14ac:dyDescent="0.45">
      <c r="S12" s="205"/>
      <c r="T12" s="240"/>
      <c r="U12" s="240"/>
      <c r="V12" s="240"/>
      <c r="W12" s="240"/>
      <c r="X12" s="240"/>
      <c r="Y12" s="240"/>
      <c r="Z12" s="240"/>
      <c r="AA12" s="240"/>
      <c r="AB12" s="206"/>
    </row>
    <row r="13" spans="2:36" x14ac:dyDescent="0.45">
      <c r="S13" s="205"/>
      <c r="T13" s="240"/>
      <c r="U13" s="240"/>
      <c r="V13" s="240"/>
      <c r="W13" s="240"/>
      <c r="X13" s="240"/>
      <c r="Y13" s="240"/>
      <c r="Z13" s="240"/>
      <c r="AA13" s="240"/>
      <c r="AB13" s="206"/>
    </row>
    <row r="14" spans="2:36" x14ac:dyDescent="0.45">
      <c r="K14" s="235">
        <v>17</v>
      </c>
      <c r="L14" s="235" t="s">
        <v>40</v>
      </c>
      <c r="M14" s="235">
        <v>1</v>
      </c>
      <c r="N14" s="235" t="s">
        <v>39</v>
      </c>
      <c r="O14" s="235">
        <v>18</v>
      </c>
      <c r="S14" s="205"/>
      <c r="T14" s="240"/>
      <c r="U14" s="240"/>
      <c r="V14" s="240"/>
      <c r="W14" s="240"/>
      <c r="X14" s="240"/>
      <c r="Y14" s="240"/>
      <c r="Z14" s="240"/>
      <c r="AA14" s="240"/>
      <c r="AB14" s="206"/>
    </row>
    <row r="15" spans="2:36" x14ac:dyDescent="0.45">
      <c r="K15" s="235">
        <v>17</v>
      </c>
      <c r="L15" s="235" t="s">
        <v>40</v>
      </c>
      <c r="M15" s="235">
        <v>19</v>
      </c>
      <c r="N15" s="235" t="s">
        <v>39</v>
      </c>
      <c r="O15" s="235">
        <v>36</v>
      </c>
      <c r="S15" s="205"/>
      <c r="T15" s="240"/>
      <c r="U15" s="240"/>
      <c r="V15" s="240"/>
      <c r="W15" s="240"/>
      <c r="X15" s="240"/>
      <c r="Y15" s="240"/>
      <c r="Z15" s="240"/>
      <c r="AA15" s="240"/>
      <c r="AB15" s="206"/>
    </row>
    <row r="16" spans="2:36" x14ac:dyDescent="0.45">
      <c r="S16" s="205"/>
      <c r="T16" s="240"/>
      <c r="U16" s="240"/>
      <c r="V16" s="240"/>
      <c r="W16" s="240"/>
      <c r="X16" s="240"/>
      <c r="Y16" s="240"/>
      <c r="Z16" s="240"/>
      <c r="AA16" s="240"/>
      <c r="AB16" s="206"/>
    </row>
    <row r="17" spans="11:28" x14ac:dyDescent="0.45">
      <c r="K17" s="235">
        <v>19</v>
      </c>
      <c r="L17" s="235" t="s">
        <v>40</v>
      </c>
      <c r="M17" s="235">
        <v>19</v>
      </c>
      <c r="N17" s="235" t="s">
        <v>39</v>
      </c>
      <c r="O17" s="235">
        <v>38</v>
      </c>
      <c r="S17" s="241"/>
      <c r="T17" s="242"/>
      <c r="U17" s="242"/>
      <c r="V17" s="242"/>
      <c r="W17" s="242"/>
      <c r="X17" s="242"/>
      <c r="Y17" s="242"/>
      <c r="Z17" s="242"/>
      <c r="AA17" s="242"/>
      <c r="AB17" s="243"/>
    </row>
    <row r="18" spans="11:28" x14ac:dyDescent="0.45">
      <c r="K18" s="235">
        <v>19</v>
      </c>
      <c r="L18" s="235" t="s">
        <v>40</v>
      </c>
      <c r="M18" s="235">
        <v>1</v>
      </c>
      <c r="N18" s="235" t="s">
        <v>39</v>
      </c>
      <c r="O18" s="235">
        <v>20</v>
      </c>
    </row>
    <row r="19" spans="11:28" x14ac:dyDescent="0.45">
      <c r="K19" s="235">
        <v>1</v>
      </c>
      <c r="L19" s="235" t="s">
        <v>40</v>
      </c>
      <c r="M19" s="235">
        <v>1</v>
      </c>
      <c r="N19" s="235" t="s">
        <v>39</v>
      </c>
      <c r="O19" s="235">
        <v>2</v>
      </c>
    </row>
  </sheetData>
  <mergeCells count="4">
    <mergeCell ref="S2:Z2"/>
    <mergeCell ref="AC2:AJ2"/>
    <mergeCell ref="U3:U4"/>
    <mergeCell ref="U6:U7"/>
  </mergeCells>
  <phoneticPr fontId="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C7B56-83BE-42AE-AE56-D52CBA4EA64A}">
  <dimension ref="B1:AJ19"/>
  <sheetViews>
    <sheetView showGridLines="0" workbookViewId="0"/>
  </sheetViews>
  <sheetFormatPr defaultColWidth="4.59765625" defaultRowHeight="22.2" x14ac:dyDescent="0.45"/>
  <cols>
    <col min="1" max="16384" width="4.59765625" style="144"/>
  </cols>
  <sheetData>
    <row r="1" spans="2:36" ht="22.8" thickBot="1" x14ac:dyDescent="0.5"/>
    <row r="2" spans="2:36" x14ac:dyDescent="0.45">
      <c r="S2" s="443" t="s">
        <v>261</v>
      </c>
      <c r="T2" s="444"/>
      <c r="U2" s="444"/>
      <c r="V2" s="444"/>
      <c r="W2" s="444"/>
      <c r="X2" s="444"/>
      <c r="Y2" s="444"/>
      <c r="Z2" s="445"/>
      <c r="AC2" s="443" t="s">
        <v>262</v>
      </c>
      <c r="AD2" s="444"/>
      <c r="AE2" s="444"/>
      <c r="AF2" s="444"/>
      <c r="AG2" s="444"/>
      <c r="AH2" s="444"/>
      <c r="AI2" s="444"/>
      <c r="AJ2" s="445"/>
    </row>
    <row r="3" spans="2:36" x14ac:dyDescent="0.45">
      <c r="B3" s="144" t="s">
        <v>218</v>
      </c>
      <c r="D3" s="236" t="s">
        <v>254</v>
      </c>
      <c r="K3" s="144">
        <v>19</v>
      </c>
      <c r="L3" s="144" t="s">
        <v>39</v>
      </c>
      <c r="M3" s="123">
        <v>10</v>
      </c>
      <c r="N3" s="144" t="s">
        <v>40</v>
      </c>
      <c r="O3" s="144">
        <v>9</v>
      </c>
      <c r="S3" s="219" t="s">
        <v>257</v>
      </c>
      <c r="T3" s="218"/>
      <c r="U3" s="446" t="s">
        <v>39</v>
      </c>
      <c r="V3" s="216" t="s">
        <v>258</v>
      </c>
      <c r="W3" s="141"/>
      <c r="X3" s="132" t="s">
        <v>40</v>
      </c>
      <c r="Y3" s="216" t="s">
        <v>259</v>
      </c>
      <c r="Z3" s="220"/>
      <c r="AC3" s="221" t="s">
        <v>258</v>
      </c>
      <c r="AD3" s="141"/>
      <c r="AE3" s="132" t="s">
        <v>40</v>
      </c>
      <c r="AF3" s="216" t="s">
        <v>259</v>
      </c>
      <c r="AG3" s="141"/>
      <c r="AH3" s="132" t="s">
        <v>39</v>
      </c>
      <c r="AI3" s="215" t="s">
        <v>257</v>
      </c>
      <c r="AJ3" s="181"/>
    </row>
    <row r="4" spans="2:36" x14ac:dyDescent="0.45">
      <c r="D4" s="236" t="s">
        <v>255</v>
      </c>
      <c r="K4" s="123">
        <v>10</v>
      </c>
      <c r="L4" s="144" t="s">
        <v>39</v>
      </c>
      <c r="M4" s="144">
        <v>5</v>
      </c>
      <c r="N4" s="144" t="s">
        <v>40</v>
      </c>
      <c r="O4" s="144">
        <v>5</v>
      </c>
      <c r="S4" s="221" t="s">
        <v>263</v>
      </c>
      <c r="T4" s="141"/>
      <c r="U4" s="446"/>
      <c r="V4" s="215" t="s">
        <v>263</v>
      </c>
      <c r="W4" s="217"/>
      <c r="X4" s="222"/>
      <c r="Y4" s="132"/>
      <c r="Z4" s="223"/>
      <c r="AC4" s="221" t="s">
        <v>263</v>
      </c>
      <c r="AD4" s="217"/>
      <c r="AE4" s="222"/>
      <c r="AF4" s="132"/>
      <c r="AG4" s="132"/>
      <c r="AH4" s="132"/>
      <c r="AI4" s="231" t="s">
        <v>263</v>
      </c>
      <c r="AJ4" s="232"/>
    </row>
    <row r="5" spans="2:36" x14ac:dyDescent="0.45">
      <c r="K5" s="144">
        <v>9</v>
      </c>
      <c r="L5" s="144" t="s">
        <v>39</v>
      </c>
      <c r="M5" s="144">
        <v>5</v>
      </c>
      <c r="N5" s="144" t="s">
        <v>40</v>
      </c>
      <c r="O5" s="144">
        <v>4</v>
      </c>
      <c r="S5" s="224"/>
      <c r="T5" s="132"/>
      <c r="U5" s="132"/>
      <c r="V5" s="132"/>
      <c r="W5" s="132"/>
      <c r="X5" s="132"/>
      <c r="Y5" s="132"/>
      <c r="Z5" s="223"/>
      <c r="AC5" s="224"/>
      <c r="AD5" s="132"/>
      <c r="AE5" s="132"/>
      <c r="AF5" s="132"/>
      <c r="AG5" s="132"/>
      <c r="AH5" s="132"/>
      <c r="AI5" s="132"/>
      <c r="AJ5" s="223"/>
    </row>
    <row r="6" spans="2:36" ht="24.6" x14ac:dyDescent="0.45">
      <c r="B6" s="144" t="s">
        <v>219</v>
      </c>
      <c r="D6" s="198" t="s">
        <v>256</v>
      </c>
      <c r="K6" s="144">
        <v>5</v>
      </c>
      <c r="L6" s="144" t="s">
        <v>39</v>
      </c>
      <c r="M6" s="144">
        <v>3</v>
      </c>
      <c r="N6" s="144" t="s">
        <v>40</v>
      </c>
      <c r="O6" s="123">
        <v>2</v>
      </c>
      <c r="S6" s="225" t="s">
        <v>260</v>
      </c>
      <c r="T6" s="140"/>
      <c r="U6" s="446" t="s">
        <v>39</v>
      </c>
      <c r="V6" s="214" t="s">
        <v>260</v>
      </c>
      <c r="W6" s="140"/>
      <c r="X6" s="132"/>
      <c r="Y6" s="132"/>
      <c r="Z6" s="223"/>
      <c r="AC6" s="225" t="s">
        <v>260</v>
      </c>
      <c r="AD6" s="140"/>
      <c r="AE6" s="132"/>
      <c r="AF6" s="132"/>
      <c r="AG6" s="132"/>
      <c r="AH6" s="132"/>
      <c r="AI6" s="132"/>
      <c r="AJ6" s="223"/>
    </row>
    <row r="7" spans="2:36" ht="22.8" thickBot="1" x14ac:dyDescent="0.5">
      <c r="K7" s="144">
        <v>4</v>
      </c>
      <c r="L7" s="144" t="s">
        <v>39</v>
      </c>
      <c r="M7" s="123">
        <v>2</v>
      </c>
      <c r="N7" s="144" t="s">
        <v>40</v>
      </c>
      <c r="O7" s="123">
        <v>2</v>
      </c>
      <c r="S7" s="221" t="s">
        <v>263</v>
      </c>
      <c r="T7" s="226"/>
      <c r="U7" s="447"/>
      <c r="V7" s="227" t="s">
        <v>263</v>
      </c>
      <c r="W7" s="228"/>
      <c r="X7" s="229"/>
      <c r="Y7" s="229"/>
      <c r="Z7" s="230"/>
      <c r="AC7" s="221" t="s">
        <v>263</v>
      </c>
      <c r="AD7" s="228"/>
      <c r="AE7" s="229"/>
      <c r="AF7" s="229"/>
      <c r="AG7" s="229"/>
      <c r="AH7" s="229"/>
      <c r="AI7" s="229"/>
      <c r="AJ7" s="230"/>
    </row>
    <row r="10" spans="2:36" x14ac:dyDescent="0.45">
      <c r="K10" s="144">
        <v>17</v>
      </c>
      <c r="L10" s="144" t="s">
        <v>212</v>
      </c>
      <c r="M10" s="144">
        <v>9</v>
      </c>
      <c r="N10" s="144" t="s">
        <v>213</v>
      </c>
      <c r="O10" s="144">
        <v>8</v>
      </c>
      <c r="S10" s="237"/>
      <c r="T10" s="238"/>
      <c r="U10" s="238"/>
      <c r="V10" s="238"/>
      <c r="W10" s="238"/>
      <c r="X10" s="238"/>
      <c r="Y10" s="238"/>
      <c r="Z10" s="238"/>
      <c r="AA10" s="238"/>
      <c r="AB10" s="239"/>
    </row>
    <row r="11" spans="2:36" x14ac:dyDescent="0.45">
      <c r="K11" s="144">
        <v>8</v>
      </c>
      <c r="L11" s="144" t="s">
        <v>212</v>
      </c>
      <c r="M11" s="144">
        <v>4</v>
      </c>
      <c r="N11" s="144" t="s">
        <v>213</v>
      </c>
      <c r="O11" s="144">
        <v>4</v>
      </c>
      <c r="S11" s="205"/>
      <c r="T11" s="240"/>
      <c r="U11" s="240"/>
      <c r="V11" s="240"/>
      <c r="W11" s="240"/>
      <c r="X11" s="240"/>
      <c r="Y11" s="240"/>
      <c r="Z11" s="240"/>
      <c r="AA11" s="240"/>
      <c r="AB11" s="206"/>
    </row>
    <row r="12" spans="2:36" x14ac:dyDescent="0.45">
      <c r="S12" s="205"/>
      <c r="T12" s="240"/>
      <c r="U12" s="240"/>
      <c r="V12" s="240"/>
      <c r="W12" s="240"/>
      <c r="X12" s="240"/>
      <c r="Y12" s="240"/>
      <c r="Z12" s="240"/>
      <c r="AA12" s="240"/>
      <c r="AB12" s="206"/>
    </row>
    <row r="13" spans="2:36" x14ac:dyDescent="0.45">
      <c r="S13" s="205"/>
      <c r="T13" s="240"/>
      <c r="U13" s="240"/>
      <c r="V13" s="240"/>
      <c r="W13" s="240"/>
      <c r="X13" s="240"/>
      <c r="Y13" s="240"/>
      <c r="Z13" s="240"/>
      <c r="AA13" s="240"/>
      <c r="AB13" s="206"/>
    </row>
    <row r="14" spans="2:36" x14ac:dyDescent="0.45">
      <c r="K14" s="144">
        <v>17</v>
      </c>
      <c r="L14" s="144" t="s">
        <v>40</v>
      </c>
      <c r="M14" s="144">
        <v>1</v>
      </c>
      <c r="N14" s="144" t="s">
        <v>39</v>
      </c>
      <c r="O14" s="144">
        <v>18</v>
      </c>
      <c r="S14" s="205"/>
      <c r="T14" s="240"/>
      <c r="U14" s="240"/>
      <c r="V14" s="240"/>
      <c r="W14" s="240"/>
      <c r="X14" s="240"/>
      <c r="Y14" s="240"/>
      <c r="Z14" s="240"/>
      <c r="AA14" s="240"/>
      <c r="AB14" s="206"/>
    </row>
    <row r="15" spans="2:36" x14ac:dyDescent="0.45">
      <c r="K15" s="144">
        <v>17</v>
      </c>
      <c r="L15" s="144" t="s">
        <v>40</v>
      </c>
      <c r="M15" s="144">
        <v>19</v>
      </c>
      <c r="N15" s="144" t="s">
        <v>39</v>
      </c>
      <c r="O15" s="144">
        <v>36</v>
      </c>
      <c r="S15" s="205"/>
      <c r="T15" s="240"/>
      <c r="U15" s="240"/>
      <c r="V15" s="240"/>
      <c r="W15" s="240"/>
      <c r="X15" s="240"/>
      <c r="Y15" s="240"/>
      <c r="Z15" s="240"/>
      <c r="AA15" s="240"/>
      <c r="AB15" s="206"/>
    </row>
    <row r="16" spans="2:36" x14ac:dyDescent="0.45">
      <c r="S16" s="205"/>
      <c r="T16" s="240"/>
      <c r="U16" s="240"/>
      <c r="V16" s="240"/>
      <c r="W16" s="240"/>
      <c r="X16" s="240"/>
      <c r="Y16" s="240"/>
      <c r="Z16" s="240"/>
      <c r="AA16" s="240"/>
      <c r="AB16" s="206"/>
    </row>
    <row r="17" spans="11:28" x14ac:dyDescent="0.45">
      <c r="K17" s="144">
        <v>19</v>
      </c>
      <c r="L17" s="144" t="s">
        <v>40</v>
      </c>
      <c r="M17" s="144">
        <v>19</v>
      </c>
      <c r="N17" s="144" t="s">
        <v>39</v>
      </c>
      <c r="O17" s="144">
        <v>38</v>
      </c>
      <c r="S17" s="241"/>
      <c r="T17" s="242"/>
      <c r="U17" s="242"/>
      <c r="V17" s="242"/>
      <c r="W17" s="242"/>
      <c r="X17" s="242"/>
      <c r="Y17" s="242"/>
      <c r="Z17" s="242"/>
      <c r="AA17" s="242"/>
      <c r="AB17" s="243"/>
    </row>
    <row r="18" spans="11:28" x14ac:dyDescent="0.45">
      <c r="K18" s="144">
        <v>19</v>
      </c>
      <c r="L18" s="144" t="s">
        <v>40</v>
      </c>
      <c r="M18" s="144">
        <v>1</v>
      </c>
      <c r="N18" s="144" t="s">
        <v>39</v>
      </c>
      <c r="O18" s="144">
        <v>20</v>
      </c>
    </row>
    <row r="19" spans="11:28" x14ac:dyDescent="0.45">
      <c r="K19" s="144">
        <v>1</v>
      </c>
      <c r="L19" s="144" t="s">
        <v>40</v>
      </c>
      <c r="M19" s="144">
        <v>1</v>
      </c>
      <c r="N19" s="144" t="s">
        <v>39</v>
      </c>
      <c r="O19" s="144">
        <v>2</v>
      </c>
    </row>
  </sheetData>
  <mergeCells count="4">
    <mergeCell ref="U3:U4"/>
    <mergeCell ref="U6:U7"/>
    <mergeCell ref="S2:Z2"/>
    <mergeCell ref="AC2:AJ2"/>
  </mergeCells>
  <phoneticPr fontId="2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72863-4C05-45F5-9BC2-D3E3EFEBECAD}">
  <dimension ref="B1:AJ17"/>
  <sheetViews>
    <sheetView showGridLines="0" workbookViewId="0">
      <selection activeCell="O15" sqref="O15"/>
    </sheetView>
  </sheetViews>
  <sheetFormatPr defaultColWidth="4.59765625" defaultRowHeight="22.2" x14ac:dyDescent="0.45"/>
  <cols>
    <col min="1" max="16384" width="4.59765625" style="235"/>
  </cols>
  <sheetData>
    <row r="1" spans="2:36" ht="22.8" thickBot="1" x14ac:dyDescent="0.5"/>
    <row r="2" spans="2:36" x14ac:dyDescent="0.45">
      <c r="S2" s="443" t="s">
        <v>261</v>
      </c>
      <c r="T2" s="444"/>
      <c r="U2" s="444"/>
      <c r="V2" s="444"/>
      <c r="W2" s="444"/>
      <c r="X2" s="444"/>
      <c r="Y2" s="444"/>
      <c r="Z2" s="445"/>
      <c r="AC2" s="443" t="s">
        <v>262</v>
      </c>
      <c r="AD2" s="444"/>
      <c r="AE2" s="444"/>
      <c r="AF2" s="444"/>
      <c r="AG2" s="444"/>
      <c r="AH2" s="444"/>
      <c r="AI2" s="444"/>
      <c r="AJ2" s="445"/>
    </row>
    <row r="3" spans="2:36" x14ac:dyDescent="0.45">
      <c r="B3" s="235" t="s">
        <v>218</v>
      </c>
      <c r="D3" s="236" t="s">
        <v>266</v>
      </c>
      <c r="E3" s="194"/>
      <c r="K3" s="1">
        <v>79</v>
      </c>
      <c r="L3" s="1" t="s">
        <v>39</v>
      </c>
      <c r="M3" s="1">
        <v>40</v>
      </c>
      <c r="N3" s="1" t="s">
        <v>40</v>
      </c>
      <c r="O3" s="1">
        <v>39</v>
      </c>
      <c r="P3" s="1"/>
      <c r="S3" s="219" t="s">
        <v>257</v>
      </c>
      <c r="T3" s="218"/>
      <c r="U3" s="446" t="s">
        <v>39</v>
      </c>
      <c r="V3" s="216" t="s">
        <v>258</v>
      </c>
      <c r="W3" s="141"/>
      <c r="X3" s="233" t="s">
        <v>40</v>
      </c>
      <c r="Y3" s="216" t="s">
        <v>259</v>
      </c>
      <c r="Z3" s="220"/>
      <c r="AC3" s="221" t="s">
        <v>258</v>
      </c>
      <c r="AD3" s="141"/>
      <c r="AE3" s="233" t="s">
        <v>40</v>
      </c>
      <c r="AF3" s="216" t="s">
        <v>259</v>
      </c>
      <c r="AG3" s="141"/>
      <c r="AH3" s="233" t="s">
        <v>39</v>
      </c>
      <c r="AI3" s="215" t="s">
        <v>257</v>
      </c>
      <c r="AJ3" s="181"/>
    </row>
    <row r="4" spans="2:36" x14ac:dyDescent="0.45">
      <c r="K4" s="1">
        <v>39</v>
      </c>
      <c r="L4" s="1" t="s">
        <v>39</v>
      </c>
      <c r="M4" s="1">
        <v>20</v>
      </c>
      <c r="N4" s="1" t="s">
        <v>40</v>
      </c>
      <c r="O4" s="1">
        <v>19</v>
      </c>
      <c r="P4" s="1"/>
      <c r="S4" s="221" t="s">
        <v>263</v>
      </c>
      <c r="T4" s="141"/>
      <c r="U4" s="446"/>
      <c r="V4" s="215" t="s">
        <v>263</v>
      </c>
      <c r="W4" s="217"/>
      <c r="X4" s="222"/>
      <c r="Y4" s="233"/>
      <c r="Z4" s="223"/>
      <c r="AC4" s="221" t="s">
        <v>263</v>
      </c>
      <c r="AD4" s="217"/>
      <c r="AE4" s="222"/>
      <c r="AF4" s="233"/>
      <c r="AG4" s="233"/>
      <c r="AH4" s="233"/>
      <c r="AI4" s="231" t="s">
        <v>263</v>
      </c>
      <c r="AJ4" s="232"/>
    </row>
    <row r="5" spans="2:36" x14ac:dyDescent="0.45">
      <c r="K5" s="1">
        <v>19</v>
      </c>
      <c r="L5" s="1" t="s">
        <v>39</v>
      </c>
      <c r="M5" s="1">
        <v>10</v>
      </c>
      <c r="N5" s="1" t="s">
        <v>40</v>
      </c>
      <c r="O5" s="1">
        <v>9</v>
      </c>
      <c r="P5" s="1"/>
      <c r="S5" s="224"/>
      <c r="T5" s="233"/>
      <c r="U5" s="233"/>
      <c r="V5" s="233"/>
      <c r="W5" s="233"/>
      <c r="X5" s="233"/>
      <c r="Y5" s="233"/>
      <c r="Z5" s="223"/>
      <c r="AC5" s="224"/>
      <c r="AD5" s="233"/>
      <c r="AE5" s="233"/>
      <c r="AF5" s="233"/>
      <c r="AG5" s="233"/>
      <c r="AH5" s="233"/>
      <c r="AI5" s="233"/>
      <c r="AJ5" s="223"/>
    </row>
    <row r="6" spans="2:36" x14ac:dyDescent="0.45">
      <c r="B6" s="235" t="s">
        <v>219</v>
      </c>
      <c r="D6" s="198" t="s">
        <v>267</v>
      </c>
      <c r="K6" s="1">
        <v>9</v>
      </c>
      <c r="L6" s="1" t="s">
        <v>39</v>
      </c>
      <c r="M6" s="1">
        <v>5</v>
      </c>
      <c r="N6" s="1" t="s">
        <v>40</v>
      </c>
      <c r="O6" s="1">
        <v>4</v>
      </c>
      <c r="P6" s="1"/>
      <c r="S6" s="225" t="s">
        <v>260</v>
      </c>
      <c r="T6" s="140"/>
      <c r="U6" s="446" t="s">
        <v>39</v>
      </c>
      <c r="V6" s="214" t="s">
        <v>260</v>
      </c>
      <c r="W6" s="140"/>
      <c r="X6" s="233"/>
      <c r="Y6" s="233"/>
      <c r="Z6" s="223"/>
      <c r="AC6" s="225" t="s">
        <v>260</v>
      </c>
      <c r="AD6" s="140"/>
      <c r="AE6" s="233"/>
      <c r="AF6" s="233"/>
      <c r="AG6" s="233"/>
      <c r="AH6" s="233"/>
      <c r="AI6" s="233"/>
      <c r="AJ6" s="223"/>
    </row>
    <row r="7" spans="2:36" ht="22.8" thickBot="1" x14ac:dyDescent="0.5">
      <c r="P7" s="1"/>
      <c r="S7" s="221" t="s">
        <v>263</v>
      </c>
      <c r="T7" s="226"/>
      <c r="U7" s="447"/>
      <c r="V7" s="227" t="s">
        <v>263</v>
      </c>
      <c r="W7" s="228"/>
      <c r="X7" s="234"/>
      <c r="Y7" s="234"/>
      <c r="Z7" s="230"/>
      <c r="AC7" s="221" t="s">
        <v>263</v>
      </c>
      <c r="AD7" s="228"/>
      <c r="AE7" s="234"/>
      <c r="AF7" s="234"/>
      <c r="AG7" s="234"/>
      <c r="AH7" s="234"/>
      <c r="AI7" s="234"/>
      <c r="AJ7" s="230"/>
    </row>
    <row r="8" spans="2:36" x14ac:dyDescent="0.45">
      <c r="K8" s="1">
        <v>75</v>
      </c>
      <c r="L8" s="1" t="s">
        <v>39</v>
      </c>
      <c r="M8" s="1">
        <v>38</v>
      </c>
      <c r="N8" s="1" t="s">
        <v>40</v>
      </c>
      <c r="O8" s="1">
        <v>37</v>
      </c>
    </row>
    <row r="9" spans="2:36" x14ac:dyDescent="0.45">
      <c r="K9" s="235">
        <v>38</v>
      </c>
      <c r="L9" s="1" t="s">
        <v>39</v>
      </c>
      <c r="M9" s="235">
        <v>19</v>
      </c>
      <c r="N9" s="1" t="s">
        <v>40</v>
      </c>
      <c r="O9" s="235">
        <v>19</v>
      </c>
    </row>
    <row r="10" spans="2:36" x14ac:dyDescent="0.45">
      <c r="K10" s="235">
        <v>37</v>
      </c>
      <c r="L10" s="1" t="s">
        <v>39</v>
      </c>
      <c r="M10" s="235">
        <v>19</v>
      </c>
      <c r="N10" s="1" t="s">
        <v>40</v>
      </c>
      <c r="O10" s="235">
        <v>18</v>
      </c>
      <c r="S10" s="237"/>
      <c r="T10" s="238"/>
      <c r="U10" s="238"/>
      <c r="V10" s="238"/>
      <c r="W10" s="238"/>
      <c r="X10" s="238"/>
      <c r="Y10" s="238"/>
      <c r="Z10" s="238"/>
      <c r="AA10" s="238"/>
      <c r="AB10" s="239"/>
    </row>
    <row r="11" spans="2:36" x14ac:dyDescent="0.45">
      <c r="K11" s="235">
        <v>18</v>
      </c>
      <c r="L11" s="1" t="s">
        <v>39</v>
      </c>
      <c r="M11" s="235">
        <v>9</v>
      </c>
      <c r="N11" s="1" t="s">
        <v>40</v>
      </c>
      <c r="O11" s="235">
        <v>9</v>
      </c>
      <c r="S11" s="205"/>
      <c r="T11" s="240"/>
      <c r="U11" s="240"/>
      <c r="V11" s="240"/>
      <c r="W11" s="240"/>
      <c r="X11" s="240"/>
      <c r="Y11" s="240"/>
      <c r="Z11" s="240"/>
      <c r="AA11" s="240"/>
      <c r="AB11" s="206"/>
    </row>
    <row r="12" spans="2:36" x14ac:dyDescent="0.45">
      <c r="S12" s="205"/>
      <c r="T12" s="240"/>
      <c r="U12" s="240"/>
      <c r="V12" s="240"/>
      <c r="W12" s="240"/>
      <c r="X12" s="240"/>
      <c r="Y12" s="240"/>
      <c r="Z12" s="240"/>
      <c r="AA12" s="240"/>
      <c r="AB12" s="206"/>
    </row>
    <row r="13" spans="2:36" x14ac:dyDescent="0.45">
      <c r="S13" s="205"/>
      <c r="T13" s="240"/>
      <c r="U13" s="240"/>
      <c r="V13" s="240"/>
      <c r="W13" s="240"/>
      <c r="X13" s="240"/>
      <c r="Y13" s="240"/>
      <c r="Z13" s="240"/>
      <c r="AA13" s="240"/>
      <c r="AB13" s="206"/>
    </row>
    <row r="14" spans="2:36" x14ac:dyDescent="0.45">
      <c r="K14" s="235">
        <v>55</v>
      </c>
      <c r="L14" s="1" t="s">
        <v>39</v>
      </c>
      <c r="M14" s="1">
        <v>28</v>
      </c>
      <c r="N14" s="1" t="s">
        <v>40</v>
      </c>
      <c r="O14" s="1">
        <v>27</v>
      </c>
      <c r="S14" s="205"/>
      <c r="T14" s="240"/>
      <c r="U14" s="240"/>
      <c r="V14" s="240"/>
      <c r="W14" s="240"/>
      <c r="X14" s="240"/>
      <c r="Y14" s="240"/>
      <c r="Z14" s="240"/>
      <c r="AA14" s="240"/>
      <c r="AB14" s="206"/>
    </row>
    <row r="15" spans="2:36" x14ac:dyDescent="0.45">
      <c r="K15" s="235">
        <v>28</v>
      </c>
      <c r="L15" s="1" t="s">
        <v>39</v>
      </c>
      <c r="M15" s="235">
        <v>14</v>
      </c>
      <c r="N15" s="1" t="s">
        <v>40</v>
      </c>
      <c r="O15" s="235">
        <v>14</v>
      </c>
      <c r="S15" s="205"/>
      <c r="T15" s="240"/>
      <c r="U15" s="240"/>
      <c r="V15" s="240"/>
      <c r="W15" s="240"/>
      <c r="X15" s="240"/>
      <c r="Y15" s="240"/>
      <c r="Z15" s="240"/>
      <c r="AA15" s="240"/>
      <c r="AB15" s="206"/>
    </row>
    <row r="16" spans="2:36" x14ac:dyDescent="0.45">
      <c r="K16" s="235">
        <v>27</v>
      </c>
      <c r="L16" s="1" t="s">
        <v>39</v>
      </c>
      <c r="N16" s="1" t="s">
        <v>40</v>
      </c>
      <c r="S16" s="205"/>
      <c r="T16" s="240"/>
      <c r="U16" s="240"/>
      <c r="V16" s="240"/>
      <c r="W16" s="240"/>
      <c r="X16" s="240"/>
      <c r="Y16" s="240"/>
      <c r="Z16" s="240"/>
      <c r="AA16" s="240"/>
      <c r="AB16" s="206"/>
    </row>
    <row r="17" spans="19:28" x14ac:dyDescent="0.45">
      <c r="S17" s="241"/>
      <c r="T17" s="242"/>
      <c r="U17" s="242"/>
      <c r="V17" s="242"/>
      <c r="W17" s="242"/>
      <c r="X17" s="242"/>
      <c r="Y17" s="242"/>
      <c r="Z17" s="242"/>
      <c r="AA17" s="242"/>
      <c r="AB17" s="243"/>
    </row>
  </sheetData>
  <mergeCells count="4">
    <mergeCell ref="S2:Z2"/>
    <mergeCell ref="AC2:AJ2"/>
    <mergeCell ref="U3:U4"/>
    <mergeCell ref="U6:U7"/>
  </mergeCells>
  <phoneticPr fontId="2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17CE4-1CB2-4CFF-98D2-745115CC172A}">
  <dimension ref="A1:BG95"/>
  <sheetViews>
    <sheetView showGridLines="0" zoomScale="85" zoomScaleNormal="85" workbookViewId="0">
      <selection sqref="A1:BG1"/>
    </sheetView>
  </sheetViews>
  <sheetFormatPr defaultColWidth="4.59765625" defaultRowHeight="22.2" x14ac:dyDescent="0.45"/>
  <cols>
    <col min="1" max="11" width="4.59765625" style="245"/>
    <col min="12" max="14" width="4.59765625" style="247"/>
    <col min="15" max="26" width="4.59765625" style="245"/>
    <col min="27" max="29" width="4.59765625" style="247"/>
    <col min="30" max="41" width="4.59765625" style="245"/>
    <col min="42" max="44" width="4.59765625" style="247"/>
    <col min="45" max="56" width="4.59765625" style="245"/>
    <col min="57" max="59" width="4.59765625" style="247"/>
    <col min="60" max="16384" width="4.59765625" style="245"/>
  </cols>
  <sheetData>
    <row r="1" spans="1:59" x14ac:dyDescent="0.45">
      <c r="A1" s="467" t="s">
        <v>270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  <c r="O1" s="467"/>
      <c r="P1" s="467"/>
      <c r="Q1" s="467"/>
      <c r="R1" s="467"/>
      <c r="S1" s="467"/>
      <c r="T1" s="467"/>
      <c r="U1" s="467"/>
      <c r="V1" s="467"/>
      <c r="W1" s="467"/>
      <c r="X1" s="467"/>
      <c r="Y1" s="467"/>
      <c r="Z1" s="467"/>
      <c r="AA1" s="467"/>
      <c r="AB1" s="467"/>
      <c r="AC1" s="467"/>
      <c r="AD1" s="467"/>
      <c r="AE1" s="467"/>
      <c r="AF1" s="467"/>
      <c r="AG1" s="467"/>
      <c r="AH1" s="467"/>
      <c r="AI1" s="467"/>
      <c r="AJ1" s="467"/>
      <c r="AK1" s="467"/>
      <c r="AL1" s="467"/>
      <c r="AM1" s="467"/>
      <c r="AN1" s="467"/>
      <c r="AO1" s="467"/>
      <c r="AP1" s="467"/>
      <c r="AQ1" s="467"/>
      <c r="AR1" s="467"/>
      <c r="AS1" s="467"/>
      <c r="AT1" s="467"/>
      <c r="AU1" s="467"/>
      <c r="AV1" s="467"/>
      <c r="AW1" s="467"/>
      <c r="AX1" s="467"/>
      <c r="AY1" s="467"/>
      <c r="AZ1" s="467"/>
      <c r="BA1" s="467"/>
      <c r="BB1" s="467"/>
      <c r="BC1" s="467"/>
      <c r="BD1" s="467"/>
      <c r="BE1" s="467"/>
      <c r="BF1" s="467"/>
      <c r="BG1" s="467"/>
    </row>
    <row r="2" spans="1:59" x14ac:dyDescent="0.45">
      <c r="A2" s="249"/>
      <c r="B2" s="249"/>
      <c r="C2" s="249"/>
      <c r="D2" s="249"/>
      <c r="E2" s="249"/>
      <c r="F2" s="249"/>
      <c r="G2" s="249"/>
      <c r="H2" s="249"/>
      <c r="I2" s="249"/>
      <c r="J2" s="248"/>
      <c r="K2" s="248"/>
      <c r="L2" s="248"/>
      <c r="M2" s="248"/>
      <c r="N2" s="248"/>
      <c r="O2" s="247"/>
      <c r="P2" s="249"/>
      <c r="Q2" s="249"/>
      <c r="R2" s="249"/>
      <c r="S2" s="249"/>
      <c r="T2" s="249"/>
      <c r="U2" s="249"/>
      <c r="V2" s="249"/>
      <c r="W2" s="249"/>
      <c r="X2" s="249"/>
      <c r="Y2" s="248"/>
      <c r="Z2" s="248"/>
      <c r="AA2" s="248"/>
      <c r="AB2" s="248"/>
      <c r="AC2" s="248"/>
      <c r="AD2" s="247"/>
      <c r="AE2" s="249"/>
      <c r="AF2" s="249"/>
      <c r="AG2" s="249"/>
      <c r="AH2" s="249"/>
      <c r="AI2" s="249"/>
      <c r="AJ2" s="249"/>
      <c r="AK2" s="249"/>
      <c r="AL2" s="249"/>
      <c r="AM2" s="249"/>
      <c r="AN2" s="248"/>
      <c r="AO2" s="248"/>
      <c r="AP2" s="248"/>
      <c r="AQ2" s="248"/>
      <c r="AR2" s="248"/>
      <c r="AS2" s="247"/>
      <c r="AT2" s="249"/>
      <c r="AU2" s="249"/>
      <c r="AV2" s="249"/>
      <c r="AW2" s="249"/>
      <c r="AX2" s="249"/>
      <c r="AY2" s="249"/>
      <c r="AZ2" s="249"/>
      <c r="BA2" s="249"/>
      <c r="BB2" s="249"/>
      <c r="BC2" s="248"/>
      <c r="BD2" s="248"/>
      <c r="BE2" s="248"/>
      <c r="BF2" s="248"/>
      <c r="BG2" s="248"/>
    </row>
    <row r="3" spans="1:59" x14ac:dyDescent="0.45">
      <c r="A3" s="249"/>
      <c r="B3" s="249"/>
      <c r="C3" s="249"/>
      <c r="D3" s="249"/>
      <c r="E3" s="249"/>
      <c r="F3" s="249"/>
      <c r="G3" s="249"/>
      <c r="H3" s="249"/>
      <c r="I3" s="249"/>
      <c r="J3" s="248"/>
      <c r="K3" s="248"/>
      <c r="L3" s="248"/>
      <c r="M3" s="248"/>
      <c r="N3" s="248"/>
      <c r="O3" s="247"/>
      <c r="P3" s="249"/>
      <c r="Q3" s="249"/>
      <c r="R3" s="249"/>
      <c r="S3" s="249"/>
      <c r="T3" s="249"/>
      <c r="U3" s="249"/>
      <c r="V3" s="249"/>
      <c r="W3" s="249"/>
      <c r="X3" s="249"/>
      <c r="Y3" s="248"/>
      <c r="Z3" s="248"/>
      <c r="AA3" s="248"/>
      <c r="AB3" s="248"/>
      <c r="AC3" s="248"/>
      <c r="AD3" s="247"/>
      <c r="AE3" s="249"/>
      <c r="AF3" s="249"/>
      <c r="AG3" s="249"/>
      <c r="AH3" s="249"/>
      <c r="AI3" s="249"/>
      <c r="AJ3" s="249"/>
      <c r="AK3" s="249"/>
      <c r="AL3" s="249"/>
      <c r="AM3" s="249"/>
      <c r="AN3" s="248"/>
      <c r="AO3" s="248"/>
      <c r="AP3" s="248"/>
      <c r="AQ3" s="248"/>
      <c r="AR3" s="248"/>
      <c r="AS3" s="247"/>
      <c r="AT3" s="249"/>
      <c r="AU3" s="249"/>
      <c r="AV3" s="249"/>
      <c r="AW3" s="249"/>
      <c r="AX3" s="249"/>
      <c r="AY3" s="249"/>
      <c r="AZ3" s="249"/>
      <c r="BA3" s="249"/>
      <c r="BB3" s="249"/>
      <c r="BC3" s="248"/>
      <c r="BD3" s="248"/>
      <c r="BE3" s="248"/>
      <c r="BF3" s="248"/>
      <c r="BG3" s="248"/>
    </row>
    <row r="4" spans="1:59" x14ac:dyDescent="0.45">
      <c r="A4" s="249"/>
      <c r="B4" s="249"/>
      <c r="C4" s="249"/>
      <c r="D4" s="249"/>
      <c r="E4" s="249"/>
      <c r="F4" s="249"/>
      <c r="G4" s="249"/>
      <c r="H4" s="249"/>
      <c r="I4" s="249"/>
      <c r="J4" s="249"/>
      <c r="K4" s="249"/>
      <c r="L4" s="249"/>
      <c r="M4" s="249"/>
      <c r="N4" s="249"/>
      <c r="O4" s="247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249"/>
      <c r="AA4" s="249"/>
      <c r="AB4" s="249"/>
      <c r="AC4" s="249"/>
      <c r="AD4" s="247"/>
      <c r="AE4" s="249"/>
      <c r="AF4" s="249"/>
      <c r="AG4" s="249"/>
      <c r="AH4" s="249"/>
      <c r="AI4" s="249"/>
      <c r="AJ4" s="249"/>
      <c r="AK4" s="249"/>
      <c r="AL4" s="249"/>
      <c r="AM4" s="249"/>
      <c r="AN4" s="249"/>
      <c r="AO4" s="249"/>
      <c r="AP4" s="249"/>
      <c r="AQ4" s="249"/>
      <c r="AR4" s="249"/>
      <c r="AS4" s="247"/>
      <c r="AT4" s="249"/>
      <c r="AU4" s="249"/>
      <c r="AV4" s="249"/>
      <c r="AW4" s="249"/>
      <c r="AX4" s="249"/>
      <c r="AY4" s="249"/>
      <c r="AZ4" s="249"/>
      <c r="BA4" s="249"/>
      <c r="BB4" s="249"/>
      <c r="BC4" s="249"/>
      <c r="BD4" s="249"/>
      <c r="BE4" s="249"/>
      <c r="BF4" s="249"/>
      <c r="BG4" s="249"/>
    </row>
    <row r="5" spans="1:59" x14ac:dyDescent="0.45">
      <c r="A5" s="449" t="s">
        <v>81</v>
      </c>
      <c r="B5" s="450"/>
      <c r="C5" s="249"/>
      <c r="D5" s="449" t="s">
        <v>54</v>
      </c>
      <c r="E5" s="450"/>
      <c r="F5" s="249"/>
      <c r="G5" s="449" t="s">
        <v>54</v>
      </c>
      <c r="H5" s="450"/>
      <c r="I5" s="249"/>
      <c r="J5" s="457" t="s">
        <v>81</v>
      </c>
      <c r="K5" s="458"/>
      <c r="L5" s="249"/>
      <c r="M5" s="249"/>
      <c r="N5" s="249"/>
      <c r="P5" s="449" t="s">
        <v>81</v>
      </c>
      <c r="Q5" s="450"/>
      <c r="R5" s="249"/>
      <c r="S5" s="449" t="s">
        <v>53</v>
      </c>
      <c r="T5" s="450"/>
      <c r="U5" s="249"/>
      <c r="V5" s="449" t="s">
        <v>54</v>
      </c>
      <c r="W5" s="450"/>
      <c r="X5" s="249"/>
      <c r="Y5" s="457" t="s">
        <v>81</v>
      </c>
      <c r="Z5" s="458"/>
      <c r="AA5" s="249"/>
      <c r="AB5" s="249"/>
      <c r="AC5" s="249"/>
      <c r="AE5" s="449" t="s">
        <v>81</v>
      </c>
      <c r="AF5" s="450"/>
      <c r="AG5" s="249"/>
      <c r="AH5" s="449" t="s">
        <v>53</v>
      </c>
      <c r="AI5" s="450"/>
      <c r="AJ5" s="249"/>
      <c r="AK5" s="449" t="s">
        <v>53</v>
      </c>
      <c r="AL5" s="450"/>
      <c r="AM5" s="249"/>
      <c r="AN5" s="457" t="s">
        <v>81</v>
      </c>
      <c r="AO5" s="458"/>
      <c r="AP5" s="249"/>
      <c r="AQ5" s="249"/>
      <c r="AR5" s="249"/>
      <c r="AT5" s="449" t="s">
        <v>81</v>
      </c>
      <c r="AU5" s="450"/>
      <c r="AV5" s="249"/>
      <c r="AW5" s="449" t="s">
        <v>54</v>
      </c>
      <c r="AX5" s="450"/>
      <c r="AY5" s="249"/>
      <c r="AZ5" s="449" t="s">
        <v>53</v>
      </c>
      <c r="BA5" s="450"/>
      <c r="BB5" s="249"/>
      <c r="BC5" s="457" t="s">
        <v>81</v>
      </c>
      <c r="BD5" s="458"/>
      <c r="BE5" s="249"/>
      <c r="BF5" s="249"/>
      <c r="BG5" s="249"/>
    </row>
    <row r="6" spans="1:59" x14ac:dyDescent="0.45">
      <c r="A6" s="451"/>
      <c r="B6" s="452"/>
      <c r="C6" s="249"/>
      <c r="D6" s="451"/>
      <c r="E6" s="452"/>
      <c r="F6" s="249"/>
      <c r="G6" s="451"/>
      <c r="H6" s="452"/>
      <c r="I6" s="249"/>
      <c r="J6" s="459"/>
      <c r="K6" s="460"/>
      <c r="L6" s="249"/>
      <c r="M6" s="249"/>
      <c r="N6" s="249"/>
      <c r="P6" s="451"/>
      <c r="Q6" s="452"/>
      <c r="R6" s="249"/>
      <c r="S6" s="451"/>
      <c r="T6" s="452"/>
      <c r="U6" s="249"/>
      <c r="V6" s="451"/>
      <c r="W6" s="452"/>
      <c r="X6" s="249"/>
      <c r="Y6" s="459"/>
      <c r="Z6" s="460"/>
      <c r="AA6" s="249"/>
      <c r="AB6" s="249"/>
      <c r="AC6" s="249"/>
      <c r="AE6" s="451"/>
      <c r="AF6" s="452"/>
      <c r="AG6" s="249"/>
      <c r="AH6" s="451"/>
      <c r="AI6" s="452"/>
      <c r="AJ6" s="249"/>
      <c r="AK6" s="451"/>
      <c r="AL6" s="452"/>
      <c r="AM6" s="249"/>
      <c r="AN6" s="459"/>
      <c r="AO6" s="460"/>
      <c r="AP6" s="249"/>
      <c r="AQ6" s="249"/>
      <c r="AR6" s="249"/>
      <c r="AT6" s="451"/>
      <c r="AU6" s="452"/>
      <c r="AV6" s="249"/>
      <c r="AW6" s="451"/>
      <c r="AX6" s="452"/>
      <c r="AY6" s="249"/>
      <c r="AZ6" s="451"/>
      <c r="BA6" s="452"/>
      <c r="BB6" s="249"/>
      <c r="BC6" s="459"/>
      <c r="BD6" s="460"/>
      <c r="BE6" s="249"/>
      <c r="BF6" s="249"/>
      <c r="BG6" s="249"/>
    </row>
    <row r="7" spans="1:59" x14ac:dyDescent="0.45">
      <c r="A7" s="248"/>
      <c r="B7" s="248"/>
      <c r="C7" s="249"/>
      <c r="D7" s="248"/>
      <c r="E7" s="248"/>
      <c r="F7" s="249"/>
      <c r="G7" s="248"/>
      <c r="H7" s="248"/>
      <c r="I7" s="249"/>
      <c r="J7" s="248"/>
      <c r="K7" s="248"/>
      <c r="L7" s="248"/>
      <c r="M7" s="248"/>
      <c r="N7" s="248"/>
      <c r="P7" s="249"/>
      <c r="Q7" s="249"/>
      <c r="R7" s="249"/>
      <c r="S7" s="249"/>
      <c r="T7" s="249"/>
      <c r="U7" s="249"/>
      <c r="V7" s="249"/>
      <c r="W7" s="249"/>
      <c r="X7" s="249"/>
      <c r="Y7" s="248"/>
      <c r="Z7" s="248"/>
      <c r="AA7" s="248"/>
      <c r="AB7" s="248"/>
      <c r="AC7" s="248"/>
      <c r="AE7" s="249"/>
      <c r="AF7" s="249"/>
      <c r="AG7" s="249"/>
      <c r="AH7" s="249"/>
      <c r="AI7" s="249"/>
      <c r="AJ7" s="249"/>
      <c r="AK7" s="249"/>
      <c r="AL7" s="249"/>
      <c r="AM7" s="249"/>
      <c r="AN7" s="248"/>
      <c r="AO7" s="248"/>
      <c r="AP7" s="249"/>
      <c r="AQ7" s="249"/>
      <c r="AR7" s="249"/>
      <c r="AT7" s="249"/>
      <c r="AU7" s="249"/>
      <c r="AV7" s="249"/>
      <c r="AW7" s="249"/>
      <c r="AX7" s="249"/>
      <c r="AY7" s="249"/>
      <c r="AZ7" s="249"/>
      <c r="BA7" s="249"/>
      <c r="BB7" s="249"/>
      <c r="BC7" s="248"/>
      <c r="BD7" s="248"/>
      <c r="BE7" s="249"/>
      <c r="BF7" s="249"/>
      <c r="BG7" s="249"/>
    </row>
    <row r="8" spans="1:59" x14ac:dyDescent="0.45">
      <c r="A8" s="248"/>
      <c r="B8" s="248"/>
      <c r="C8" s="248"/>
      <c r="D8" s="248"/>
      <c r="E8" s="248"/>
      <c r="F8" s="249"/>
      <c r="G8" s="248"/>
      <c r="H8" s="248"/>
      <c r="I8" s="248"/>
      <c r="J8" s="248"/>
      <c r="K8" s="248"/>
      <c r="L8" s="248"/>
      <c r="M8" s="248"/>
      <c r="N8" s="248"/>
      <c r="O8" s="247"/>
      <c r="P8" s="249"/>
      <c r="Q8" s="249"/>
      <c r="R8" s="249"/>
      <c r="S8" s="249"/>
      <c r="T8" s="249"/>
      <c r="U8" s="249"/>
      <c r="V8" s="249"/>
      <c r="W8" s="249"/>
      <c r="X8" s="249"/>
      <c r="Y8" s="248"/>
      <c r="Z8" s="248"/>
      <c r="AA8" s="248"/>
      <c r="AB8" s="248"/>
      <c r="AC8" s="248"/>
      <c r="AD8" s="247"/>
      <c r="AE8" s="249"/>
      <c r="AF8" s="249"/>
      <c r="AG8" s="249"/>
      <c r="AH8" s="249"/>
      <c r="AI8" s="249"/>
      <c r="AJ8" s="249"/>
      <c r="AK8" s="249"/>
      <c r="AL8" s="249"/>
      <c r="AM8" s="249"/>
      <c r="AN8" s="248"/>
      <c r="AO8" s="248"/>
      <c r="AP8" s="248"/>
      <c r="AQ8" s="248"/>
      <c r="AR8" s="248"/>
      <c r="AS8" s="247"/>
      <c r="AT8" s="249"/>
      <c r="AU8" s="249"/>
      <c r="AV8" s="249"/>
      <c r="AW8" s="249"/>
      <c r="AX8" s="249"/>
      <c r="AY8" s="249"/>
      <c r="AZ8" s="249"/>
      <c r="BA8" s="249"/>
      <c r="BB8" s="249"/>
      <c r="BC8" s="248"/>
      <c r="BD8" s="248"/>
      <c r="BE8" s="248"/>
      <c r="BF8" s="248"/>
      <c r="BG8" s="248"/>
    </row>
    <row r="9" spans="1:59" x14ac:dyDescent="0.45">
      <c r="A9" s="248"/>
      <c r="B9" s="248"/>
      <c r="C9" s="248"/>
      <c r="D9" s="248"/>
      <c r="E9" s="248"/>
      <c r="F9" s="248"/>
      <c r="G9" s="248"/>
      <c r="H9" s="248"/>
      <c r="I9" s="248"/>
      <c r="J9" s="248"/>
      <c r="K9" s="248"/>
      <c r="L9" s="248"/>
      <c r="M9" s="248"/>
      <c r="N9" s="248"/>
      <c r="O9" s="247"/>
      <c r="P9" s="249"/>
      <c r="Q9" s="249"/>
      <c r="R9" s="249"/>
      <c r="S9" s="249"/>
      <c r="T9" s="249"/>
      <c r="U9" s="249"/>
      <c r="V9" s="249"/>
      <c r="W9" s="249"/>
      <c r="X9" s="249"/>
      <c r="Y9" s="249"/>
      <c r="Z9" s="249"/>
      <c r="AA9" s="249"/>
      <c r="AB9" s="249"/>
      <c r="AC9" s="249"/>
      <c r="AD9" s="247"/>
      <c r="AE9" s="249"/>
      <c r="AF9" s="249"/>
      <c r="AG9" s="249"/>
      <c r="AH9" s="249"/>
      <c r="AI9" s="249"/>
      <c r="AJ9" s="249"/>
      <c r="AK9" s="249"/>
      <c r="AL9" s="249"/>
      <c r="AM9" s="249"/>
      <c r="AN9" s="249"/>
      <c r="AO9" s="249"/>
      <c r="AP9" s="249"/>
      <c r="AQ9" s="249"/>
      <c r="AR9" s="249"/>
      <c r="AS9" s="247"/>
      <c r="AT9" s="249"/>
      <c r="AU9" s="249"/>
      <c r="AV9" s="249"/>
      <c r="AW9" s="249"/>
      <c r="AX9" s="249"/>
      <c r="AY9" s="249"/>
      <c r="AZ9" s="249"/>
      <c r="BA9" s="249"/>
      <c r="BB9" s="249"/>
      <c r="BC9" s="249"/>
      <c r="BD9" s="249"/>
      <c r="BE9" s="249"/>
      <c r="BF9" s="249"/>
      <c r="BG9" s="249"/>
    </row>
    <row r="11" spans="1:59" x14ac:dyDescent="0.45">
      <c r="A11" s="468" t="s">
        <v>271</v>
      </c>
      <c r="B11" s="468"/>
      <c r="C11" s="468"/>
      <c r="D11" s="468"/>
      <c r="E11" s="468"/>
      <c r="F11" s="468"/>
      <c r="G11" s="468"/>
      <c r="H11" s="468"/>
      <c r="I11" s="468"/>
      <c r="J11" s="468"/>
      <c r="K11" s="468"/>
      <c r="L11" s="468"/>
      <c r="M11" s="468"/>
      <c r="N11" s="468"/>
      <c r="O11" s="468"/>
      <c r="P11" s="468"/>
      <c r="Q11" s="468"/>
      <c r="R11" s="468"/>
      <c r="S11" s="468"/>
      <c r="T11" s="468"/>
      <c r="U11" s="468"/>
      <c r="V11" s="468"/>
      <c r="W11" s="468"/>
      <c r="X11" s="468"/>
      <c r="Y11" s="468"/>
      <c r="Z11" s="468"/>
      <c r="AA11" s="468"/>
      <c r="AB11" s="468"/>
      <c r="AC11" s="468"/>
      <c r="AD11" s="468"/>
      <c r="AE11" s="468"/>
      <c r="AF11" s="468"/>
      <c r="AG11" s="468"/>
      <c r="AH11" s="468"/>
      <c r="AI11" s="468"/>
      <c r="AJ11" s="468"/>
      <c r="AK11" s="468"/>
      <c r="AL11" s="468"/>
      <c r="AM11" s="468"/>
      <c r="AN11" s="468"/>
      <c r="AO11" s="468"/>
      <c r="AP11" s="468"/>
      <c r="AQ11" s="468"/>
      <c r="AR11" s="468"/>
      <c r="AS11" s="468"/>
      <c r="AT11" s="468"/>
      <c r="AU11" s="468"/>
      <c r="AV11" s="468"/>
      <c r="AW11" s="468"/>
      <c r="AX11" s="468"/>
      <c r="AY11" s="468"/>
      <c r="AZ11" s="468"/>
      <c r="BA11" s="468"/>
      <c r="BB11" s="468"/>
      <c r="BC11" s="468"/>
      <c r="BD11" s="468"/>
      <c r="BE11" s="468"/>
      <c r="BF11" s="468"/>
      <c r="BG11" s="468"/>
    </row>
    <row r="12" spans="1:59" x14ac:dyDescent="0.45">
      <c r="A12" s="249"/>
      <c r="B12" s="249"/>
      <c r="C12" s="249"/>
      <c r="D12" s="249"/>
      <c r="E12" s="249"/>
      <c r="F12" s="249"/>
      <c r="G12" s="249"/>
      <c r="H12" s="249"/>
      <c r="I12" s="249"/>
      <c r="J12" s="248"/>
      <c r="K12" s="248"/>
      <c r="L12" s="248"/>
      <c r="M12" s="248"/>
      <c r="N12" s="248"/>
      <c r="O12" s="247"/>
      <c r="P12" s="249"/>
      <c r="Q12" s="249"/>
      <c r="R12" s="249"/>
      <c r="S12" s="249"/>
      <c r="T12" s="249"/>
      <c r="U12" s="249"/>
      <c r="V12" s="249"/>
      <c r="W12" s="249"/>
      <c r="X12" s="249"/>
      <c r="Y12" s="248"/>
      <c r="Z12" s="248"/>
      <c r="AA12" s="248"/>
      <c r="AB12" s="248"/>
      <c r="AC12" s="248"/>
      <c r="AD12" s="247"/>
      <c r="AE12" s="249"/>
      <c r="AF12" s="249"/>
      <c r="AG12" s="249"/>
      <c r="AH12" s="249"/>
      <c r="AI12" s="249"/>
      <c r="AJ12" s="249"/>
      <c r="AK12" s="249"/>
      <c r="AL12" s="249"/>
      <c r="AM12" s="249"/>
      <c r="AN12" s="248"/>
      <c r="AO12" s="248"/>
      <c r="AP12" s="248"/>
      <c r="AQ12" s="248"/>
      <c r="AR12" s="248"/>
      <c r="AS12" s="247"/>
      <c r="AT12" s="249"/>
      <c r="AU12" s="249"/>
      <c r="AV12" s="249"/>
      <c r="AW12" s="249"/>
      <c r="AX12" s="249"/>
      <c r="AY12" s="249"/>
      <c r="AZ12" s="249"/>
      <c r="BA12" s="249"/>
      <c r="BB12" s="249"/>
      <c r="BC12" s="248"/>
      <c r="BD12" s="248"/>
      <c r="BE12" s="248"/>
      <c r="BF12" s="248"/>
      <c r="BG12" s="248"/>
    </row>
    <row r="13" spans="1:59" x14ac:dyDescent="0.45">
      <c r="A13" s="249"/>
      <c r="B13" s="249"/>
      <c r="C13" s="249"/>
      <c r="D13" s="249"/>
      <c r="E13" s="249"/>
      <c r="F13" s="249"/>
      <c r="G13" s="249"/>
      <c r="H13" s="249"/>
      <c r="I13" s="249"/>
      <c r="J13" s="248"/>
      <c r="K13" s="248"/>
      <c r="L13" s="248"/>
      <c r="M13" s="248"/>
      <c r="N13" s="248"/>
      <c r="O13" s="247"/>
      <c r="P13" s="249"/>
      <c r="Q13" s="249"/>
      <c r="R13" s="249"/>
      <c r="S13" s="249"/>
      <c r="T13" s="249"/>
      <c r="U13" s="249"/>
      <c r="V13" s="249"/>
      <c r="W13" s="249"/>
      <c r="X13" s="249"/>
      <c r="Y13" s="248"/>
      <c r="Z13" s="248"/>
      <c r="AA13" s="248"/>
      <c r="AB13" s="248"/>
      <c r="AC13" s="248"/>
      <c r="AD13" s="247"/>
      <c r="AE13" s="249"/>
      <c r="AF13" s="249"/>
      <c r="AG13" s="249"/>
      <c r="AH13" s="249"/>
      <c r="AI13" s="249"/>
      <c r="AJ13" s="249"/>
      <c r="AK13" s="249"/>
      <c r="AL13" s="249"/>
      <c r="AM13" s="249"/>
      <c r="AN13" s="248"/>
      <c r="AO13" s="248"/>
      <c r="AP13" s="248"/>
      <c r="AQ13" s="248"/>
      <c r="AR13" s="248"/>
      <c r="AS13" s="247"/>
      <c r="AT13" s="249"/>
      <c r="AU13" s="249"/>
      <c r="AV13" s="249"/>
      <c r="AW13" s="249"/>
      <c r="AX13" s="249"/>
      <c r="AY13" s="249"/>
      <c r="AZ13" s="249"/>
      <c r="BA13" s="249"/>
      <c r="BB13" s="249"/>
      <c r="BC13" s="248"/>
      <c r="BD13" s="248"/>
      <c r="BE13" s="248"/>
      <c r="BF13" s="248"/>
      <c r="BG13" s="248"/>
    </row>
    <row r="14" spans="1:59" x14ac:dyDescent="0.45">
      <c r="A14" s="249"/>
      <c r="B14" s="249"/>
      <c r="C14" s="249"/>
      <c r="D14" s="249"/>
      <c r="E14" s="249"/>
      <c r="F14" s="249"/>
      <c r="G14" s="249"/>
      <c r="H14" s="249"/>
      <c r="I14" s="249"/>
      <c r="J14" s="249"/>
      <c r="K14" s="249"/>
      <c r="L14" s="249"/>
      <c r="M14" s="249"/>
      <c r="N14" s="249"/>
      <c r="O14" s="247"/>
      <c r="P14" s="249"/>
      <c r="Q14" s="249"/>
      <c r="R14" s="249"/>
      <c r="S14" s="249"/>
      <c r="T14" s="249"/>
      <c r="U14" s="249"/>
      <c r="V14" s="249"/>
      <c r="W14" s="249"/>
      <c r="X14" s="249"/>
      <c r="Y14" s="249"/>
      <c r="Z14" s="249"/>
      <c r="AA14" s="249"/>
      <c r="AB14" s="249"/>
      <c r="AC14" s="249"/>
      <c r="AD14" s="247"/>
      <c r="AE14" s="249"/>
      <c r="AF14" s="249"/>
      <c r="AG14" s="249"/>
      <c r="AH14" s="249"/>
      <c r="AI14" s="249"/>
      <c r="AJ14" s="249"/>
      <c r="AK14" s="249"/>
      <c r="AL14" s="249"/>
      <c r="AM14" s="249"/>
      <c r="AN14" s="249"/>
      <c r="AO14" s="249"/>
      <c r="AP14" s="249"/>
      <c r="AQ14" s="249"/>
      <c r="AR14" s="249"/>
      <c r="AS14" s="247"/>
      <c r="AT14" s="249"/>
      <c r="AU14" s="249"/>
      <c r="AV14" s="249"/>
      <c r="AW14" s="249"/>
      <c r="AX14" s="249"/>
      <c r="AY14" s="249"/>
      <c r="AZ14" s="249"/>
      <c r="BA14" s="249"/>
      <c r="BB14" s="249"/>
      <c r="BC14" s="249"/>
      <c r="BD14" s="249"/>
      <c r="BE14" s="249"/>
      <c r="BF14" s="249"/>
      <c r="BG14" s="249"/>
    </row>
    <row r="15" spans="1:59" x14ac:dyDescent="0.45">
      <c r="A15" s="449"/>
      <c r="B15" s="450"/>
      <c r="C15" s="249"/>
      <c r="D15" s="449" t="s">
        <v>81</v>
      </c>
      <c r="E15" s="450"/>
      <c r="F15" s="249"/>
      <c r="G15" s="449" t="s">
        <v>54</v>
      </c>
      <c r="H15" s="450"/>
      <c r="I15" s="249"/>
      <c r="J15" s="449" t="s">
        <v>54</v>
      </c>
      <c r="K15" s="450"/>
      <c r="L15" s="249"/>
      <c r="M15" s="457" t="s">
        <v>81</v>
      </c>
      <c r="N15" s="458"/>
      <c r="O15" s="247"/>
      <c r="P15" s="449"/>
      <c r="Q15" s="450"/>
      <c r="R15" s="249"/>
      <c r="S15" s="449" t="s">
        <v>81</v>
      </c>
      <c r="T15" s="450"/>
      <c r="U15" s="249"/>
      <c r="V15" s="449" t="s">
        <v>53</v>
      </c>
      <c r="W15" s="450"/>
      <c r="X15" s="249"/>
      <c r="Y15" s="449" t="s">
        <v>54</v>
      </c>
      <c r="Z15" s="450"/>
      <c r="AA15" s="249"/>
      <c r="AB15" s="457" t="s">
        <v>81</v>
      </c>
      <c r="AC15" s="458"/>
      <c r="AD15" s="247"/>
      <c r="AE15" s="449"/>
      <c r="AF15" s="450"/>
      <c r="AG15" s="249"/>
      <c r="AH15" s="449" t="s">
        <v>81</v>
      </c>
      <c r="AI15" s="450"/>
      <c r="AJ15" s="249"/>
      <c r="AK15" s="449" t="s">
        <v>53</v>
      </c>
      <c r="AL15" s="450"/>
      <c r="AM15" s="249"/>
      <c r="AN15" s="449" t="s">
        <v>53</v>
      </c>
      <c r="AO15" s="450"/>
      <c r="AP15" s="249"/>
      <c r="AQ15" s="457" t="s">
        <v>81</v>
      </c>
      <c r="AR15" s="458"/>
      <c r="AS15" s="247"/>
      <c r="AT15" s="449"/>
      <c r="AU15" s="450"/>
      <c r="AV15" s="249"/>
      <c r="AW15" s="449" t="s">
        <v>81</v>
      </c>
      <c r="AX15" s="450"/>
      <c r="AY15" s="249"/>
      <c r="AZ15" s="449" t="s">
        <v>54</v>
      </c>
      <c r="BA15" s="450"/>
      <c r="BB15" s="249"/>
      <c r="BC15" s="449" t="s">
        <v>53</v>
      </c>
      <c r="BD15" s="450"/>
      <c r="BE15" s="249"/>
      <c r="BF15" s="457" t="s">
        <v>81</v>
      </c>
      <c r="BG15" s="458"/>
    </row>
    <row r="16" spans="1:59" x14ac:dyDescent="0.45">
      <c r="A16" s="451"/>
      <c r="B16" s="452"/>
      <c r="C16" s="249"/>
      <c r="D16" s="451"/>
      <c r="E16" s="452"/>
      <c r="F16" s="249"/>
      <c r="G16" s="451"/>
      <c r="H16" s="452"/>
      <c r="I16" s="249"/>
      <c r="J16" s="451"/>
      <c r="K16" s="452"/>
      <c r="L16" s="249"/>
      <c r="M16" s="459"/>
      <c r="N16" s="460"/>
      <c r="O16" s="247"/>
      <c r="P16" s="451"/>
      <c r="Q16" s="452"/>
      <c r="R16" s="249"/>
      <c r="S16" s="451"/>
      <c r="T16" s="452"/>
      <c r="U16" s="249"/>
      <c r="V16" s="451"/>
      <c r="W16" s="452"/>
      <c r="X16" s="249"/>
      <c r="Y16" s="451"/>
      <c r="Z16" s="452"/>
      <c r="AA16" s="249"/>
      <c r="AB16" s="459"/>
      <c r="AC16" s="460"/>
      <c r="AD16" s="247"/>
      <c r="AE16" s="451"/>
      <c r="AF16" s="452"/>
      <c r="AG16" s="249"/>
      <c r="AH16" s="451"/>
      <c r="AI16" s="452"/>
      <c r="AJ16" s="249"/>
      <c r="AK16" s="451"/>
      <c r="AL16" s="452"/>
      <c r="AM16" s="249"/>
      <c r="AN16" s="451"/>
      <c r="AO16" s="452"/>
      <c r="AP16" s="249"/>
      <c r="AQ16" s="459"/>
      <c r="AR16" s="460"/>
      <c r="AS16" s="247"/>
      <c r="AT16" s="451"/>
      <c r="AU16" s="452"/>
      <c r="AV16" s="249"/>
      <c r="AW16" s="451"/>
      <c r="AX16" s="452"/>
      <c r="AY16" s="249"/>
      <c r="AZ16" s="451"/>
      <c r="BA16" s="452"/>
      <c r="BB16" s="249"/>
      <c r="BC16" s="451"/>
      <c r="BD16" s="452"/>
      <c r="BE16" s="249"/>
      <c r="BF16" s="459"/>
      <c r="BG16" s="460"/>
    </row>
    <row r="17" spans="1:59" x14ac:dyDescent="0.45">
      <c r="A17" s="248"/>
      <c r="B17" s="248"/>
      <c r="C17" s="249"/>
      <c r="D17" s="248"/>
      <c r="E17" s="248"/>
      <c r="F17" s="249"/>
      <c r="G17" s="248"/>
      <c r="H17" s="248"/>
      <c r="I17" s="249"/>
      <c r="J17" s="248"/>
      <c r="K17" s="248"/>
      <c r="L17" s="248"/>
      <c r="M17" s="248"/>
      <c r="N17" s="248"/>
      <c r="O17" s="247"/>
      <c r="P17" s="249"/>
      <c r="Q17" s="249"/>
      <c r="R17" s="249"/>
      <c r="S17" s="249"/>
      <c r="T17" s="249"/>
      <c r="U17" s="249"/>
      <c r="V17" s="249"/>
      <c r="W17" s="249"/>
      <c r="X17" s="249"/>
      <c r="Y17" s="248"/>
      <c r="Z17" s="248"/>
      <c r="AA17" s="248"/>
      <c r="AB17" s="248"/>
      <c r="AC17" s="248"/>
      <c r="AD17" s="247"/>
      <c r="AE17" s="249"/>
      <c r="AF17" s="249"/>
      <c r="AG17" s="249"/>
      <c r="AH17" s="249"/>
      <c r="AI17" s="249"/>
      <c r="AJ17" s="249"/>
      <c r="AK17" s="249"/>
      <c r="AL17" s="249"/>
      <c r="AM17" s="249"/>
      <c r="AN17" s="248"/>
      <c r="AO17" s="248"/>
      <c r="AP17" s="248"/>
      <c r="AQ17" s="248"/>
      <c r="AR17" s="248"/>
      <c r="AS17" s="247"/>
      <c r="AT17" s="249"/>
      <c r="AU17" s="249"/>
      <c r="AV17" s="249"/>
      <c r="AW17" s="249"/>
      <c r="AX17" s="249"/>
      <c r="AY17" s="249"/>
      <c r="AZ17" s="249"/>
      <c r="BA17" s="249"/>
      <c r="BB17" s="249"/>
      <c r="BC17" s="248"/>
      <c r="BD17" s="248"/>
      <c r="BE17" s="248"/>
      <c r="BF17" s="248"/>
      <c r="BG17" s="248"/>
    </row>
    <row r="18" spans="1:59" x14ac:dyDescent="0.45">
      <c r="A18" s="248"/>
      <c r="B18" s="248"/>
      <c r="C18" s="248"/>
      <c r="D18" s="248"/>
      <c r="E18" s="248"/>
      <c r="F18" s="249"/>
      <c r="G18" s="248"/>
      <c r="H18" s="248"/>
      <c r="I18" s="248"/>
      <c r="J18" s="248"/>
      <c r="K18" s="248"/>
      <c r="L18" s="248"/>
      <c r="M18" s="248"/>
      <c r="N18" s="248"/>
      <c r="O18" s="247"/>
      <c r="P18" s="249"/>
      <c r="Q18" s="249"/>
      <c r="R18" s="249"/>
      <c r="S18" s="249"/>
      <c r="T18" s="249"/>
      <c r="U18" s="249"/>
      <c r="V18" s="249"/>
      <c r="W18" s="249"/>
      <c r="X18" s="249"/>
      <c r="Y18" s="248"/>
      <c r="Z18" s="248"/>
      <c r="AA18" s="248"/>
      <c r="AB18" s="248"/>
      <c r="AC18" s="248"/>
      <c r="AD18" s="247"/>
      <c r="AE18" s="249"/>
      <c r="AF18" s="249"/>
      <c r="AG18" s="249"/>
      <c r="AH18" s="249"/>
      <c r="AI18" s="249"/>
      <c r="AJ18" s="249"/>
      <c r="AK18" s="249"/>
      <c r="AL18" s="249"/>
      <c r="AM18" s="249"/>
      <c r="AN18" s="248"/>
      <c r="AO18" s="248"/>
      <c r="AP18" s="248"/>
      <c r="AQ18" s="248"/>
      <c r="AR18" s="248"/>
      <c r="AS18" s="247"/>
      <c r="AT18" s="249"/>
      <c r="AU18" s="249"/>
      <c r="AV18" s="249"/>
      <c r="AW18" s="249"/>
      <c r="AX18" s="249"/>
      <c r="AY18" s="249"/>
      <c r="AZ18" s="249"/>
      <c r="BA18" s="249"/>
      <c r="BB18" s="249"/>
      <c r="BC18" s="248"/>
      <c r="BD18" s="248"/>
      <c r="BE18" s="248"/>
      <c r="BF18" s="248"/>
      <c r="BG18" s="248"/>
    </row>
    <row r="19" spans="1:59" x14ac:dyDescent="0.45">
      <c r="A19" s="248"/>
      <c r="B19" s="248"/>
      <c r="C19" s="248"/>
      <c r="D19" s="248"/>
      <c r="E19" s="248"/>
      <c r="F19" s="248"/>
      <c r="G19" s="248"/>
      <c r="H19" s="248"/>
      <c r="I19" s="248"/>
      <c r="J19" s="248"/>
      <c r="K19" s="248"/>
      <c r="L19" s="248"/>
      <c r="M19" s="248"/>
      <c r="N19" s="248"/>
      <c r="O19" s="247"/>
      <c r="P19" s="249"/>
      <c r="Q19" s="249"/>
      <c r="R19" s="249"/>
      <c r="S19" s="249"/>
      <c r="T19" s="249"/>
      <c r="U19" s="249"/>
      <c r="V19" s="249"/>
      <c r="W19" s="249"/>
      <c r="X19" s="249"/>
      <c r="Y19" s="249"/>
      <c r="Z19" s="249"/>
      <c r="AA19" s="249"/>
      <c r="AB19" s="249"/>
      <c r="AC19" s="249"/>
      <c r="AD19" s="247"/>
      <c r="AE19" s="249"/>
      <c r="AF19" s="249"/>
      <c r="AG19" s="249"/>
      <c r="AH19" s="249"/>
      <c r="AI19" s="249"/>
      <c r="AJ19" s="249"/>
      <c r="AK19" s="249"/>
      <c r="AL19" s="249"/>
      <c r="AM19" s="249"/>
      <c r="AN19" s="249"/>
      <c r="AO19" s="249"/>
      <c r="AP19" s="249"/>
      <c r="AQ19" s="249"/>
      <c r="AR19" s="249"/>
      <c r="AS19" s="247"/>
      <c r="AT19" s="249"/>
      <c r="AU19" s="249"/>
      <c r="AV19" s="249"/>
      <c r="AW19" s="249"/>
      <c r="AX19" s="249"/>
      <c r="AY19" s="249"/>
      <c r="AZ19" s="249"/>
      <c r="BA19" s="249"/>
      <c r="BB19" s="249"/>
      <c r="BC19" s="249"/>
      <c r="BD19" s="249"/>
      <c r="BE19" s="249"/>
      <c r="BF19" s="249"/>
      <c r="BG19" s="249"/>
    </row>
    <row r="21" spans="1:59" x14ac:dyDescent="0.45">
      <c r="A21" s="448" t="s">
        <v>268</v>
      </c>
      <c r="B21" s="448"/>
      <c r="C21" s="448"/>
      <c r="D21" s="448"/>
      <c r="E21" s="448"/>
      <c r="F21" s="448"/>
      <c r="G21" s="448"/>
      <c r="H21" s="448"/>
      <c r="I21" s="448"/>
      <c r="J21" s="448"/>
      <c r="K21" s="448"/>
      <c r="L21" s="448"/>
      <c r="M21" s="448"/>
      <c r="N21" s="448"/>
      <c r="O21" s="448"/>
      <c r="P21" s="448"/>
      <c r="Q21" s="448"/>
      <c r="R21" s="448"/>
      <c r="S21" s="448"/>
      <c r="T21" s="448"/>
      <c r="U21" s="448"/>
      <c r="V21" s="448"/>
      <c r="W21" s="448"/>
      <c r="X21" s="448"/>
      <c r="Y21" s="448"/>
      <c r="Z21" s="448"/>
      <c r="AA21" s="448"/>
      <c r="AB21" s="448"/>
      <c r="AC21" s="448"/>
      <c r="AD21" s="448"/>
      <c r="AE21" s="448"/>
      <c r="AF21" s="448"/>
      <c r="AG21" s="448"/>
      <c r="AH21" s="448"/>
      <c r="AI21" s="448"/>
      <c r="AJ21" s="448"/>
      <c r="AK21" s="448"/>
      <c r="AL21" s="448"/>
      <c r="AM21" s="448"/>
      <c r="AN21" s="448"/>
      <c r="AO21" s="448"/>
      <c r="AP21" s="448"/>
      <c r="AQ21" s="448"/>
      <c r="AR21" s="448"/>
      <c r="AS21" s="448"/>
      <c r="AT21" s="448"/>
      <c r="AU21" s="448"/>
      <c r="AV21" s="448"/>
      <c r="AW21" s="448"/>
      <c r="AX21" s="448"/>
      <c r="AY21" s="448"/>
      <c r="AZ21" s="448"/>
      <c r="BA21" s="448"/>
      <c r="BB21" s="448"/>
      <c r="BC21" s="448"/>
      <c r="BD21" s="448"/>
      <c r="BE21" s="448"/>
      <c r="BF21" s="448"/>
      <c r="BG21" s="448"/>
    </row>
    <row r="22" spans="1:59" x14ac:dyDescent="0.45">
      <c r="A22" s="249"/>
      <c r="B22" s="249"/>
      <c r="C22" s="249"/>
      <c r="D22" s="249"/>
      <c r="E22" s="249"/>
      <c r="F22" s="249"/>
      <c r="G22" s="249"/>
      <c r="H22" s="249"/>
      <c r="I22" s="249"/>
      <c r="J22" s="248"/>
      <c r="K22" s="248"/>
      <c r="L22" s="248"/>
      <c r="M22" s="248"/>
      <c r="N22" s="248"/>
      <c r="O22" s="247"/>
      <c r="P22" s="249"/>
      <c r="Q22" s="249"/>
      <c r="R22" s="249"/>
      <c r="S22" s="249"/>
      <c r="T22" s="249"/>
      <c r="U22" s="249"/>
      <c r="V22" s="249"/>
      <c r="W22" s="249"/>
      <c r="X22" s="249"/>
      <c r="Y22" s="248"/>
      <c r="Z22" s="248"/>
      <c r="AA22" s="248"/>
      <c r="AB22" s="248"/>
      <c r="AC22" s="248"/>
      <c r="AD22" s="247"/>
      <c r="AE22" s="249"/>
      <c r="AF22" s="249"/>
      <c r="AG22" s="249"/>
      <c r="AH22" s="249"/>
      <c r="AI22" s="249"/>
      <c r="AJ22" s="249"/>
      <c r="AK22" s="249"/>
      <c r="AL22" s="249"/>
      <c r="AM22" s="249"/>
      <c r="AN22" s="248"/>
      <c r="AO22" s="248"/>
      <c r="AP22" s="248"/>
      <c r="AQ22" s="248"/>
      <c r="AR22" s="248"/>
      <c r="AS22" s="247"/>
      <c r="AT22" s="249"/>
      <c r="AU22" s="249"/>
      <c r="AV22" s="249"/>
      <c r="AW22" s="249"/>
      <c r="AX22" s="249"/>
      <c r="AY22" s="249"/>
      <c r="AZ22" s="249"/>
      <c r="BA22" s="249"/>
      <c r="BB22" s="249"/>
      <c r="BC22" s="248"/>
      <c r="BD22" s="248"/>
      <c r="BE22" s="248"/>
      <c r="BF22" s="248"/>
      <c r="BG22" s="248"/>
    </row>
    <row r="23" spans="1:59" x14ac:dyDescent="0.45">
      <c r="A23" s="249"/>
      <c r="B23" s="249"/>
      <c r="C23" s="249"/>
      <c r="D23" s="249"/>
      <c r="E23" s="249"/>
      <c r="F23" s="249"/>
      <c r="G23" s="249"/>
      <c r="H23" s="249"/>
      <c r="I23" s="249"/>
      <c r="J23" s="248"/>
      <c r="K23" s="248"/>
      <c r="L23" s="248"/>
      <c r="M23" s="248"/>
      <c r="N23" s="248"/>
      <c r="O23" s="247"/>
      <c r="P23" s="249"/>
      <c r="Q23" s="249"/>
      <c r="R23" s="249"/>
      <c r="S23" s="249"/>
      <c r="T23" s="249"/>
      <c r="U23" s="249"/>
      <c r="V23" s="249"/>
      <c r="W23" s="249"/>
      <c r="X23" s="249"/>
      <c r="Y23" s="248"/>
      <c r="Z23" s="248"/>
      <c r="AA23" s="248"/>
      <c r="AB23" s="248"/>
      <c r="AC23" s="248"/>
      <c r="AD23" s="247"/>
      <c r="AE23" s="249"/>
      <c r="AF23" s="249"/>
      <c r="AG23" s="249"/>
      <c r="AH23" s="249"/>
      <c r="AI23" s="249"/>
      <c r="AJ23" s="249"/>
      <c r="AK23" s="249"/>
      <c r="AL23" s="249"/>
      <c r="AM23" s="249"/>
      <c r="AN23" s="248"/>
      <c r="AO23" s="248"/>
      <c r="AP23" s="248"/>
      <c r="AQ23" s="248"/>
      <c r="AR23" s="248"/>
      <c r="AS23" s="247"/>
      <c r="AT23" s="249"/>
      <c r="AU23" s="249"/>
      <c r="AV23" s="249"/>
      <c r="AW23" s="249"/>
      <c r="AX23" s="249"/>
      <c r="AY23" s="249"/>
      <c r="AZ23" s="249"/>
      <c r="BA23" s="249"/>
      <c r="BB23" s="249"/>
      <c r="BC23" s="248"/>
      <c r="BD23" s="248"/>
      <c r="BE23" s="248"/>
      <c r="BF23" s="248"/>
      <c r="BG23" s="248"/>
    </row>
    <row r="24" spans="1:59" x14ac:dyDescent="0.45">
      <c r="A24" s="249"/>
      <c r="B24" s="249"/>
      <c r="C24" s="249"/>
      <c r="D24" s="249"/>
      <c r="E24" s="249"/>
      <c r="F24" s="249"/>
      <c r="G24" s="249"/>
      <c r="H24" s="249"/>
      <c r="I24" s="249"/>
      <c r="J24" s="249"/>
      <c r="K24" s="249"/>
      <c r="L24" s="249"/>
      <c r="M24" s="249"/>
      <c r="N24" s="249"/>
      <c r="O24" s="247"/>
      <c r="P24" s="249"/>
      <c r="Q24" s="249"/>
      <c r="R24" s="249"/>
      <c r="S24" s="249"/>
      <c r="T24" s="249"/>
      <c r="U24" s="249"/>
      <c r="V24" s="249"/>
      <c r="W24" s="249"/>
      <c r="X24" s="249"/>
      <c r="Y24" s="249"/>
      <c r="Z24" s="249"/>
      <c r="AA24" s="249"/>
      <c r="AB24" s="249"/>
      <c r="AC24" s="249"/>
      <c r="AD24" s="247"/>
      <c r="AE24" s="249"/>
      <c r="AF24" s="249"/>
      <c r="AG24" s="249"/>
      <c r="AH24" s="249"/>
      <c r="AI24" s="249"/>
      <c r="AJ24" s="249"/>
      <c r="AK24" s="249"/>
      <c r="AL24" s="249"/>
      <c r="AM24" s="249"/>
      <c r="AN24" s="249"/>
      <c r="AO24" s="249"/>
      <c r="AP24" s="249"/>
      <c r="AQ24" s="249"/>
      <c r="AR24" s="249"/>
      <c r="AS24" s="247"/>
      <c r="AT24" s="249"/>
      <c r="AU24" s="249"/>
      <c r="AV24" s="249"/>
      <c r="AW24" s="249"/>
      <c r="AX24" s="249"/>
      <c r="AY24" s="249"/>
      <c r="AZ24" s="249"/>
      <c r="BA24" s="249"/>
      <c r="BB24" s="249"/>
      <c r="BC24" s="249"/>
      <c r="BD24" s="249"/>
      <c r="BE24" s="249"/>
      <c r="BF24" s="249"/>
      <c r="BG24" s="249"/>
    </row>
    <row r="25" spans="1:59" x14ac:dyDescent="0.45">
      <c r="A25" s="449"/>
      <c r="B25" s="450"/>
      <c r="C25" s="249"/>
      <c r="D25" s="457"/>
      <c r="E25" s="458"/>
      <c r="F25" s="249"/>
      <c r="G25" s="449"/>
      <c r="H25" s="450"/>
      <c r="I25" s="249"/>
      <c r="J25" s="449"/>
      <c r="K25" s="450"/>
      <c r="L25" s="249"/>
      <c r="M25" s="461" t="s">
        <v>81</v>
      </c>
      <c r="N25" s="462"/>
      <c r="O25" s="247"/>
      <c r="P25" s="449"/>
      <c r="Q25" s="450"/>
      <c r="R25" s="249"/>
      <c r="S25" s="457"/>
      <c r="T25" s="458"/>
      <c r="U25" s="249"/>
      <c r="V25" s="449"/>
      <c r="W25" s="450"/>
      <c r="X25" s="249"/>
      <c r="Y25" s="449"/>
      <c r="Z25" s="450"/>
      <c r="AA25" s="249"/>
      <c r="AB25" s="461" t="s">
        <v>81</v>
      </c>
      <c r="AC25" s="462"/>
      <c r="AD25" s="247"/>
      <c r="AE25" s="449"/>
      <c r="AF25" s="450"/>
      <c r="AG25" s="249"/>
      <c r="AH25" s="457" t="s">
        <v>81</v>
      </c>
      <c r="AI25" s="458"/>
      <c r="AJ25" s="249"/>
      <c r="AK25" s="449" t="s">
        <v>53</v>
      </c>
      <c r="AL25" s="450"/>
      <c r="AM25" s="249"/>
      <c r="AN25" s="449" t="s">
        <v>53</v>
      </c>
      <c r="AO25" s="450"/>
      <c r="AP25" s="249"/>
      <c r="AQ25" s="461" t="s">
        <v>81</v>
      </c>
      <c r="AR25" s="462"/>
      <c r="AS25" s="247"/>
      <c r="AT25" s="449"/>
      <c r="AU25" s="450"/>
      <c r="AV25" s="249"/>
      <c r="AW25" s="457" t="s">
        <v>81</v>
      </c>
      <c r="AX25" s="458"/>
      <c r="AY25" s="249"/>
      <c r="AZ25" s="449" t="s">
        <v>54</v>
      </c>
      <c r="BA25" s="450"/>
      <c r="BB25" s="249"/>
      <c r="BC25" s="449" t="s">
        <v>53</v>
      </c>
      <c r="BD25" s="450"/>
      <c r="BE25" s="249"/>
      <c r="BF25" s="461" t="s">
        <v>81</v>
      </c>
      <c r="BG25" s="462"/>
    </row>
    <row r="26" spans="1:59" x14ac:dyDescent="0.45">
      <c r="A26" s="451"/>
      <c r="B26" s="452"/>
      <c r="C26" s="249"/>
      <c r="D26" s="459"/>
      <c r="E26" s="460"/>
      <c r="F26" s="249"/>
      <c r="G26" s="451"/>
      <c r="H26" s="452"/>
      <c r="I26" s="249"/>
      <c r="J26" s="451"/>
      <c r="K26" s="452"/>
      <c r="L26" s="249"/>
      <c r="M26" s="463"/>
      <c r="N26" s="464"/>
      <c r="O26" s="247"/>
      <c r="P26" s="451"/>
      <c r="Q26" s="452"/>
      <c r="R26" s="249"/>
      <c r="S26" s="459"/>
      <c r="T26" s="460"/>
      <c r="U26" s="249"/>
      <c r="V26" s="451"/>
      <c r="W26" s="452"/>
      <c r="X26" s="249"/>
      <c r="Y26" s="451"/>
      <c r="Z26" s="452"/>
      <c r="AA26" s="249"/>
      <c r="AB26" s="463"/>
      <c r="AC26" s="464"/>
      <c r="AD26" s="247"/>
      <c r="AE26" s="451"/>
      <c r="AF26" s="452"/>
      <c r="AG26" s="249"/>
      <c r="AH26" s="459"/>
      <c r="AI26" s="460"/>
      <c r="AJ26" s="249"/>
      <c r="AK26" s="451"/>
      <c r="AL26" s="452"/>
      <c r="AM26" s="249"/>
      <c r="AN26" s="451"/>
      <c r="AO26" s="452"/>
      <c r="AP26" s="249"/>
      <c r="AQ26" s="463"/>
      <c r="AR26" s="464"/>
      <c r="AS26" s="247"/>
      <c r="AT26" s="451"/>
      <c r="AU26" s="452"/>
      <c r="AV26" s="249"/>
      <c r="AW26" s="459"/>
      <c r="AX26" s="460"/>
      <c r="AY26" s="249"/>
      <c r="AZ26" s="451"/>
      <c r="BA26" s="452"/>
      <c r="BB26" s="249"/>
      <c r="BC26" s="451"/>
      <c r="BD26" s="452"/>
      <c r="BE26" s="249"/>
      <c r="BF26" s="463"/>
      <c r="BG26" s="464"/>
    </row>
    <row r="27" spans="1:59" x14ac:dyDescent="0.45">
      <c r="A27" s="248"/>
      <c r="B27" s="248"/>
      <c r="C27" s="249"/>
      <c r="D27" s="248"/>
      <c r="E27" s="248"/>
      <c r="F27" s="249"/>
      <c r="G27" s="248"/>
      <c r="H27" s="248"/>
      <c r="I27" s="249"/>
      <c r="J27" s="248"/>
      <c r="K27" s="248"/>
      <c r="L27" s="248"/>
      <c r="M27" s="248"/>
      <c r="N27" s="248"/>
      <c r="O27" s="247"/>
      <c r="P27" s="249"/>
      <c r="Q27" s="249"/>
      <c r="R27" s="249"/>
      <c r="S27" s="249"/>
      <c r="T27" s="249"/>
      <c r="U27" s="249"/>
      <c r="V27" s="249"/>
      <c r="W27" s="249"/>
      <c r="X27" s="249"/>
      <c r="Y27" s="248"/>
      <c r="Z27" s="248"/>
      <c r="AA27" s="248"/>
      <c r="AB27" s="248"/>
      <c r="AC27" s="248"/>
      <c r="AD27" s="247"/>
      <c r="AE27" s="249"/>
      <c r="AF27" s="249"/>
      <c r="AG27" s="249"/>
      <c r="AH27" s="249"/>
      <c r="AI27" s="249"/>
      <c r="AJ27" s="249"/>
      <c r="AK27" s="249"/>
      <c r="AL27" s="249"/>
      <c r="AM27" s="249"/>
      <c r="AN27" s="248"/>
      <c r="AO27" s="248"/>
      <c r="AP27" s="248"/>
      <c r="AQ27" s="248"/>
      <c r="AR27" s="248"/>
      <c r="AS27" s="247"/>
      <c r="AT27" s="249"/>
      <c r="AU27" s="249"/>
      <c r="AV27" s="249"/>
      <c r="AW27" s="249"/>
      <c r="AX27" s="249"/>
      <c r="AY27" s="249"/>
      <c r="AZ27" s="249"/>
      <c r="BA27" s="249"/>
      <c r="BB27" s="249"/>
      <c r="BC27" s="248"/>
      <c r="BD27" s="248"/>
      <c r="BE27" s="248"/>
      <c r="BF27" s="248"/>
      <c r="BG27" s="248"/>
    </row>
    <row r="28" spans="1:59" x14ac:dyDescent="0.45">
      <c r="A28" s="248"/>
      <c r="B28" s="248"/>
      <c r="C28" s="248"/>
      <c r="D28" s="248"/>
      <c r="E28" s="248"/>
      <c r="F28" s="249"/>
      <c r="G28" s="248"/>
      <c r="H28" s="248"/>
      <c r="I28" s="248"/>
      <c r="J28" s="248"/>
      <c r="K28" s="248"/>
      <c r="L28" s="248"/>
      <c r="M28" s="248"/>
      <c r="N28" s="248"/>
      <c r="O28" s="247"/>
      <c r="P28" s="249"/>
      <c r="Q28" s="249"/>
      <c r="R28" s="249"/>
      <c r="S28" s="249"/>
      <c r="T28" s="249"/>
      <c r="U28" s="249"/>
      <c r="V28" s="249"/>
      <c r="W28" s="249"/>
      <c r="X28" s="249"/>
      <c r="Y28" s="248"/>
      <c r="Z28" s="248"/>
      <c r="AA28" s="248"/>
      <c r="AB28" s="248"/>
      <c r="AC28" s="248"/>
      <c r="AD28" s="247"/>
      <c r="AE28" s="249"/>
      <c r="AF28" s="249"/>
      <c r="AG28" s="249"/>
      <c r="AH28" s="249"/>
      <c r="AI28" s="249"/>
      <c r="AJ28" s="249"/>
      <c r="AK28" s="249"/>
      <c r="AL28" s="249"/>
      <c r="AM28" s="249"/>
      <c r="AN28" s="248"/>
      <c r="AO28" s="248"/>
      <c r="AP28" s="248"/>
      <c r="AQ28" s="248"/>
      <c r="AR28" s="248"/>
      <c r="AS28" s="247"/>
      <c r="AT28" s="249"/>
      <c r="AU28" s="249"/>
      <c r="AV28" s="249"/>
      <c r="AW28" s="249"/>
      <c r="AX28" s="249"/>
      <c r="AY28" s="249"/>
      <c r="AZ28" s="249"/>
      <c r="BA28" s="249"/>
      <c r="BB28" s="249"/>
      <c r="BC28" s="248"/>
      <c r="BD28" s="248"/>
      <c r="BE28" s="248"/>
      <c r="BF28" s="248"/>
      <c r="BG28" s="248"/>
    </row>
    <row r="29" spans="1:59" x14ac:dyDescent="0.45">
      <c r="A29" s="248"/>
      <c r="B29" s="248"/>
      <c r="C29" s="248"/>
      <c r="D29" s="248"/>
      <c r="E29" s="248"/>
      <c r="F29" s="248"/>
      <c r="G29" s="248"/>
      <c r="H29" s="248"/>
      <c r="I29" s="248"/>
      <c r="J29" s="248"/>
      <c r="K29" s="248"/>
      <c r="L29" s="248"/>
      <c r="M29" s="248"/>
      <c r="N29" s="248"/>
      <c r="O29" s="247"/>
      <c r="P29" s="249"/>
      <c r="Q29" s="249"/>
      <c r="R29" s="249"/>
      <c r="S29" s="249"/>
      <c r="T29" s="249"/>
      <c r="U29" s="249"/>
      <c r="V29" s="249"/>
      <c r="W29" s="249"/>
      <c r="X29" s="249"/>
      <c r="Y29" s="249"/>
      <c r="Z29" s="249"/>
      <c r="AA29" s="249"/>
      <c r="AB29" s="249"/>
      <c r="AC29" s="249"/>
      <c r="AD29" s="247"/>
      <c r="AE29" s="249"/>
      <c r="AF29" s="249"/>
      <c r="AG29" s="249"/>
      <c r="AH29" s="249"/>
      <c r="AI29" s="249"/>
      <c r="AJ29" s="249"/>
      <c r="AK29" s="249"/>
      <c r="AL29" s="249"/>
      <c r="AM29" s="249"/>
      <c r="AN29" s="249"/>
      <c r="AO29" s="249"/>
      <c r="AP29" s="249"/>
      <c r="AQ29" s="249"/>
      <c r="AR29" s="249"/>
      <c r="AS29" s="247"/>
      <c r="AT29" s="249"/>
      <c r="AU29" s="249"/>
      <c r="AV29" s="249"/>
      <c r="AW29" s="249"/>
      <c r="AX29" s="249"/>
      <c r="AY29" s="249"/>
      <c r="AZ29" s="249"/>
      <c r="BA29" s="249"/>
      <c r="BB29" s="249"/>
      <c r="BC29" s="249"/>
      <c r="BD29" s="249"/>
      <c r="BE29" s="249"/>
      <c r="BF29" s="249"/>
      <c r="BG29" s="249"/>
    </row>
    <row r="31" spans="1:59" x14ac:dyDescent="0.45">
      <c r="A31" s="468" t="s">
        <v>272</v>
      </c>
      <c r="B31" s="448"/>
      <c r="C31" s="448"/>
      <c r="D31" s="448"/>
      <c r="E31" s="448"/>
      <c r="F31" s="448"/>
      <c r="G31" s="448"/>
      <c r="H31" s="448"/>
      <c r="I31" s="448"/>
      <c r="J31" s="448"/>
      <c r="K31" s="448"/>
      <c r="L31" s="448"/>
      <c r="M31" s="448"/>
      <c r="N31" s="448"/>
      <c r="O31" s="448"/>
      <c r="P31" s="448"/>
      <c r="Q31" s="448"/>
      <c r="R31" s="448"/>
      <c r="S31" s="448"/>
      <c r="T31" s="448"/>
      <c r="U31" s="448"/>
      <c r="V31" s="448"/>
      <c r="W31" s="448"/>
      <c r="X31" s="448"/>
      <c r="Y31" s="448"/>
      <c r="Z31" s="448"/>
      <c r="AA31" s="448"/>
      <c r="AB31" s="448"/>
      <c r="AC31" s="448"/>
      <c r="AD31" s="448"/>
      <c r="AE31" s="448"/>
      <c r="AF31" s="448"/>
      <c r="AG31" s="448"/>
      <c r="AH31" s="448"/>
      <c r="AI31" s="448"/>
      <c r="AJ31" s="448"/>
      <c r="AK31" s="448"/>
      <c r="AL31" s="448"/>
      <c r="AM31" s="448"/>
      <c r="AN31" s="448"/>
      <c r="AO31" s="448"/>
      <c r="AP31" s="448"/>
      <c r="AQ31" s="448"/>
      <c r="AR31" s="448"/>
      <c r="AS31" s="448"/>
      <c r="AT31" s="448"/>
      <c r="AU31" s="448"/>
      <c r="AV31" s="448"/>
      <c r="AW31" s="448"/>
      <c r="AX31" s="448"/>
      <c r="AY31" s="448"/>
      <c r="AZ31" s="448"/>
      <c r="BA31" s="448"/>
      <c r="BB31" s="448"/>
      <c r="BC31" s="448"/>
      <c r="BD31" s="448"/>
      <c r="BE31" s="448"/>
      <c r="BF31" s="448"/>
      <c r="BG31" s="448"/>
    </row>
    <row r="32" spans="1:59" x14ac:dyDescent="0.45">
      <c r="A32" s="249"/>
      <c r="B32" s="249"/>
      <c r="C32" s="249"/>
      <c r="D32" s="249"/>
      <c r="E32" s="249"/>
      <c r="F32" s="249"/>
      <c r="G32" s="249"/>
      <c r="H32" s="249"/>
      <c r="I32" s="249"/>
      <c r="J32" s="248"/>
      <c r="K32" s="248"/>
      <c r="L32" s="248"/>
      <c r="M32" s="248"/>
      <c r="N32" s="248"/>
      <c r="O32" s="247"/>
      <c r="P32" s="249"/>
      <c r="Q32" s="249"/>
      <c r="R32" s="249"/>
      <c r="S32" s="249"/>
      <c r="T32" s="249"/>
      <c r="U32" s="249"/>
      <c r="V32" s="249"/>
      <c r="W32" s="249"/>
      <c r="X32" s="249"/>
      <c r="Y32" s="248"/>
      <c r="Z32" s="248"/>
      <c r="AA32" s="248"/>
      <c r="AB32" s="248"/>
      <c r="AC32" s="248"/>
      <c r="AD32" s="247"/>
      <c r="AE32" s="249"/>
      <c r="AF32" s="249"/>
      <c r="AG32" s="249"/>
      <c r="AH32" s="249"/>
      <c r="AI32" s="249"/>
      <c r="AJ32" s="249"/>
      <c r="AK32" s="249"/>
      <c r="AL32" s="249"/>
      <c r="AM32" s="249"/>
      <c r="AN32" s="248"/>
      <c r="AO32" s="248"/>
      <c r="AP32" s="248"/>
      <c r="AQ32" s="248"/>
      <c r="AR32" s="248"/>
      <c r="AS32" s="247"/>
      <c r="AT32" s="249"/>
      <c r="AU32" s="249"/>
      <c r="AV32" s="249"/>
      <c r="AW32" s="249"/>
      <c r="AX32" s="249"/>
      <c r="AY32" s="249"/>
      <c r="AZ32" s="249"/>
      <c r="BA32" s="249"/>
      <c r="BB32" s="249"/>
      <c r="BC32" s="248"/>
      <c r="BD32" s="248"/>
      <c r="BE32" s="248"/>
      <c r="BF32" s="248"/>
      <c r="BG32" s="248"/>
    </row>
    <row r="33" spans="1:59" x14ac:dyDescent="0.45">
      <c r="A33" s="249"/>
      <c r="B33" s="249"/>
      <c r="C33" s="249"/>
      <c r="D33" s="249"/>
      <c r="E33" s="249"/>
      <c r="F33" s="249"/>
      <c r="G33" s="249"/>
      <c r="H33" s="249"/>
      <c r="I33" s="249"/>
      <c r="J33" s="248"/>
      <c r="K33" s="248"/>
      <c r="L33" s="248"/>
      <c r="M33" s="248"/>
      <c r="N33" s="248"/>
      <c r="O33" s="247"/>
      <c r="P33" s="249"/>
      <c r="Q33" s="249"/>
      <c r="R33" s="249"/>
      <c r="S33" s="249"/>
      <c r="T33" s="249"/>
      <c r="U33" s="249"/>
      <c r="V33" s="249"/>
      <c r="W33" s="249"/>
      <c r="X33" s="249"/>
      <c r="Y33" s="248"/>
      <c r="Z33" s="248"/>
      <c r="AA33" s="248"/>
      <c r="AB33" s="248"/>
      <c r="AC33" s="248"/>
      <c r="AD33" s="247"/>
      <c r="AE33" s="249"/>
      <c r="AF33" s="249"/>
      <c r="AG33" s="249"/>
      <c r="AH33" s="249"/>
      <c r="AI33" s="249"/>
      <c r="AJ33" s="249"/>
      <c r="AK33" s="249"/>
      <c r="AL33" s="249"/>
      <c r="AM33" s="249"/>
      <c r="AN33" s="248"/>
      <c r="AO33" s="248"/>
      <c r="AP33" s="248"/>
      <c r="AQ33" s="248"/>
      <c r="AR33" s="248"/>
      <c r="AS33" s="247"/>
      <c r="AT33" s="249"/>
      <c r="AU33" s="249"/>
      <c r="AV33" s="249"/>
      <c r="AW33" s="249"/>
      <c r="AX33" s="249"/>
      <c r="AY33" s="249"/>
      <c r="AZ33" s="249"/>
      <c r="BA33" s="249"/>
      <c r="BB33" s="249"/>
      <c r="BC33" s="248"/>
      <c r="BD33" s="248"/>
      <c r="BE33" s="248"/>
      <c r="BF33" s="248"/>
      <c r="BG33" s="248"/>
    </row>
    <row r="34" spans="1:59" x14ac:dyDescent="0.45">
      <c r="A34" s="249"/>
      <c r="B34" s="249"/>
      <c r="C34" s="249"/>
      <c r="D34" s="249"/>
      <c r="E34" s="249"/>
      <c r="F34" s="249"/>
      <c r="G34" s="249"/>
      <c r="H34" s="249"/>
      <c r="I34" s="249"/>
      <c r="J34" s="249"/>
      <c r="K34" s="249"/>
      <c r="L34" s="249"/>
      <c r="M34" s="249"/>
      <c r="N34" s="249"/>
      <c r="O34" s="247"/>
      <c r="P34" s="249"/>
      <c r="Q34" s="249"/>
      <c r="R34" s="249"/>
      <c r="S34" s="249"/>
      <c r="T34" s="249"/>
      <c r="U34" s="249"/>
      <c r="V34" s="249"/>
      <c r="W34" s="249"/>
      <c r="X34" s="249"/>
      <c r="Y34" s="249"/>
      <c r="Z34" s="249"/>
      <c r="AA34" s="249"/>
      <c r="AB34" s="249"/>
      <c r="AC34" s="249"/>
      <c r="AD34" s="247"/>
      <c r="AE34" s="249"/>
      <c r="AF34" s="249"/>
      <c r="AG34" s="249"/>
      <c r="AH34" s="249"/>
      <c r="AI34" s="249"/>
      <c r="AJ34" s="249"/>
      <c r="AK34" s="249"/>
      <c r="AL34" s="249"/>
      <c r="AM34" s="249"/>
      <c r="AN34" s="249"/>
      <c r="AO34" s="249"/>
      <c r="AP34" s="249"/>
      <c r="AQ34" s="249"/>
      <c r="AR34" s="249"/>
      <c r="AS34" s="247"/>
      <c r="AT34" s="249"/>
      <c r="AU34" s="249"/>
      <c r="AV34" s="249"/>
      <c r="AW34" s="249"/>
      <c r="AX34" s="249"/>
      <c r="AY34" s="249"/>
      <c r="AZ34" s="249"/>
      <c r="BA34" s="249"/>
      <c r="BB34" s="249"/>
      <c r="BC34" s="249"/>
      <c r="BD34" s="249"/>
      <c r="BE34" s="249"/>
      <c r="BF34" s="249"/>
      <c r="BG34" s="249"/>
    </row>
    <row r="35" spans="1:59" x14ac:dyDescent="0.45">
      <c r="A35" s="449"/>
      <c r="B35" s="450"/>
      <c r="C35" s="249"/>
      <c r="D35" s="457"/>
      <c r="E35" s="458"/>
      <c r="F35" s="249"/>
      <c r="G35" s="449"/>
      <c r="H35" s="450"/>
      <c r="I35" s="249"/>
      <c r="J35" s="449"/>
      <c r="K35" s="450"/>
      <c r="L35" s="249"/>
      <c r="M35" s="461" t="s">
        <v>81</v>
      </c>
      <c r="N35" s="462"/>
      <c r="O35" s="247"/>
      <c r="P35" s="449"/>
      <c r="Q35" s="450"/>
      <c r="R35" s="249"/>
      <c r="S35" s="457"/>
      <c r="T35" s="458"/>
      <c r="U35" s="249"/>
      <c r="V35" s="449"/>
      <c r="W35" s="450"/>
      <c r="X35" s="249"/>
      <c r="Y35" s="449"/>
      <c r="Z35" s="450"/>
      <c r="AA35" s="249"/>
      <c r="AB35" s="461" t="s">
        <v>81</v>
      </c>
      <c r="AC35" s="462"/>
      <c r="AD35" s="247"/>
      <c r="AE35" s="457" t="s">
        <v>81</v>
      </c>
      <c r="AF35" s="458"/>
      <c r="AG35" s="249"/>
      <c r="AH35" s="449" t="s">
        <v>53</v>
      </c>
      <c r="AI35" s="450"/>
      <c r="AJ35" s="249"/>
      <c r="AK35" s="449" t="s">
        <v>53</v>
      </c>
      <c r="AL35" s="450"/>
      <c r="AM35" s="249"/>
      <c r="AN35" s="461" t="s">
        <v>81</v>
      </c>
      <c r="AO35" s="462"/>
      <c r="AP35" s="246"/>
      <c r="AQ35" s="246"/>
      <c r="AR35" s="246"/>
      <c r="AS35" s="247"/>
      <c r="AT35" s="449"/>
      <c r="AU35" s="450"/>
      <c r="AV35" s="249"/>
      <c r="AW35" s="457" t="s">
        <v>81</v>
      </c>
      <c r="AX35" s="458"/>
      <c r="AY35" s="249"/>
      <c r="AZ35" s="449" t="s">
        <v>54</v>
      </c>
      <c r="BA35" s="450"/>
      <c r="BB35" s="249"/>
      <c r="BC35" s="449" t="s">
        <v>53</v>
      </c>
      <c r="BD35" s="450"/>
      <c r="BE35" s="249"/>
      <c r="BF35" s="461" t="s">
        <v>81</v>
      </c>
      <c r="BG35" s="462"/>
    </row>
    <row r="36" spans="1:59" x14ac:dyDescent="0.45">
      <c r="A36" s="451"/>
      <c r="B36" s="452"/>
      <c r="C36" s="249"/>
      <c r="D36" s="459"/>
      <c r="E36" s="460"/>
      <c r="F36" s="249"/>
      <c r="G36" s="451"/>
      <c r="H36" s="452"/>
      <c r="I36" s="249"/>
      <c r="J36" s="451"/>
      <c r="K36" s="452"/>
      <c r="L36" s="249"/>
      <c r="M36" s="463"/>
      <c r="N36" s="464"/>
      <c r="O36" s="247"/>
      <c r="P36" s="451"/>
      <c r="Q36" s="452"/>
      <c r="R36" s="249"/>
      <c r="S36" s="459"/>
      <c r="T36" s="460"/>
      <c r="U36" s="249"/>
      <c r="V36" s="451"/>
      <c r="W36" s="452"/>
      <c r="X36" s="249"/>
      <c r="Y36" s="451"/>
      <c r="Z36" s="452"/>
      <c r="AA36" s="249"/>
      <c r="AB36" s="463"/>
      <c r="AC36" s="464"/>
      <c r="AD36" s="247"/>
      <c r="AE36" s="459"/>
      <c r="AF36" s="460"/>
      <c r="AG36" s="249"/>
      <c r="AH36" s="451"/>
      <c r="AI36" s="452"/>
      <c r="AJ36" s="249"/>
      <c r="AK36" s="451"/>
      <c r="AL36" s="452"/>
      <c r="AM36" s="249"/>
      <c r="AN36" s="463"/>
      <c r="AO36" s="464"/>
      <c r="AP36" s="246"/>
      <c r="AQ36" s="246"/>
      <c r="AR36" s="246"/>
      <c r="AS36" s="247"/>
      <c r="AT36" s="451"/>
      <c r="AU36" s="452"/>
      <c r="AV36" s="249"/>
      <c r="AW36" s="459"/>
      <c r="AX36" s="460"/>
      <c r="AY36" s="249"/>
      <c r="AZ36" s="451"/>
      <c r="BA36" s="452"/>
      <c r="BB36" s="249"/>
      <c r="BC36" s="451"/>
      <c r="BD36" s="452"/>
      <c r="BE36" s="249"/>
      <c r="BF36" s="463"/>
      <c r="BG36" s="464"/>
    </row>
    <row r="37" spans="1:59" x14ac:dyDescent="0.45">
      <c r="A37" s="248"/>
      <c r="B37" s="248"/>
      <c r="C37" s="249"/>
      <c r="D37" s="248"/>
      <c r="E37" s="248"/>
      <c r="F37" s="249"/>
      <c r="G37" s="248"/>
      <c r="H37" s="248"/>
      <c r="I37" s="249"/>
      <c r="J37" s="248"/>
      <c r="K37" s="248"/>
      <c r="L37" s="248"/>
      <c r="M37" s="248"/>
      <c r="N37" s="248"/>
      <c r="O37" s="247"/>
      <c r="P37" s="249"/>
      <c r="Q37" s="249"/>
      <c r="R37" s="249"/>
      <c r="S37" s="249"/>
      <c r="T37" s="249"/>
      <c r="U37" s="249"/>
      <c r="V37" s="249"/>
      <c r="W37" s="249"/>
      <c r="X37" s="249"/>
      <c r="Y37" s="248"/>
      <c r="Z37" s="248"/>
      <c r="AA37" s="248"/>
      <c r="AB37" s="248"/>
      <c r="AC37" s="248"/>
      <c r="AD37" s="247"/>
      <c r="AE37" s="249"/>
      <c r="AF37" s="249"/>
      <c r="AG37" s="249"/>
      <c r="AH37" s="249"/>
      <c r="AI37" s="249"/>
      <c r="AJ37" s="249"/>
      <c r="AK37" s="249"/>
      <c r="AL37" s="249"/>
      <c r="AM37" s="249"/>
      <c r="AN37" s="248"/>
      <c r="AO37" s="248"/>
      <c r="AP37" s="248"/>
      <c r="AQ37" s="248"/>
      <c r="AR37" s="248"/>
      <c r="AS37" s="247"/>
      <c r="AT37" s="249"/>
      <c r="AU37" s="249"/>
      <c r="AV37" s="249"/>
      <c r="AW37" s="249"/>
      <c r="AX37" s="249"/>
      <c r="AY37" s="249"/>
      <c r="AZ37" s="249"/>
      <c r="BA37" s="249"/>
      <c r="BB37" s="249"/>
      <c r="BC37" s="248"/>
      <c r="BD37" s="248"/>
      <c r="BE37" s="248"/>
      <c r="BF37" s="248"/>
      <c r="BG37" s="248"/>
    </row>
    <row r="38" spans="1:59" x14ac:dyDescent="0.45">
      <c r="A38" s="248"/>
      <c r="B38" s="248"/>
      <c r="C38" s="248"/>
      <c r="D38" s="248"/>
      <c r="E38" s="248"/>
      <c r="F38" s="249"/>
      <c r="G38" s="248"/>
      <c r="H38" s="248"/>
      <c r="I38" s="248"/>
      <c r="J38" s="248"/>
      <c r="K38" s="248"/>
      <c r="L38" s="248"/>
      <c r="M38" s="248"/>
      <c r="N38" s="248"/>
      <c r="O38" s="247"/>
      <c r="P38" s="249"/>
      <c r="Q38" s="249"/>
      <c r="R38" s="249"/>
      <c r="S38" s="249"/>
      <c r="T38" s="249"/>
      <c r="U38" s="249"/>
      <c r="V38" s="249"/>
      <c r="W38" s="249"/>
      <c r="X38" s="249"/>
      <c r="Y38" s="248"/>
      <c r="Z38" s="248"/>
      <c r="AA38" s="248"/>
      <c r="AB38" s="248"/>
      <c r="AC38" s="248"/>
      <c r="AD38" s="247"/>
      <c r="AE38" s="249"/>
      <c r="AF38" s="249"/>
      <c r="AG38" s="249"/>
      <c r="AH38" s="249"/>
      <c r="AI38" s="249"/>
      <c r="AJ38" s="249"/>
      <c r="AK38" s="249"/>
      <c r="AL38" s="249"/>
      <c r="AM38" s="249"/>
      <c r="AN38" s="248"/>
      <c r="AO38" s="248"/>
      <c r="AP38" s="248"/>
      <c r="AQ38" s="248"/>
      <c r="AR38" s="248"/>
      <c r="AS38" s="247"/>
      <c r="AT38" s="249"/>
      <c r="AU38" s="249"/>
      <c r="AV38" s="249"/>
      <c r="AW38" s="249"/>
      <c r="AX38" s="249"/>
      <c r="AY38" s="249"/>
      <c r="AZ38" s="249"/>
      <c r="BA38" s="249"/>
      <c r="BB38" s="249"/>
      <c r="BC38" s="248"/>
      <c r="BD38" s="248"/>
      <c r="BE38" s="248"/>
      <c r="BF38" s="248"/>
      <c r="BG38" s="248"/>
    </row>
    <row r="39" spans="1:59" x14ac:dyDescent="0.45">
      <c r="A39" s="248"/>
      <c r="B39" s="248"/>
      <c r="C39" s="248"/>
      <c r="D39" s="248"/>
      <c r="E39" s="248"/>
      <c r="F39" s="248"/>
      <c r="G39" s="248"/>
      <c r="H39" s="248"/>
      <c r="I39" s="248"/>
      <c r="J39" s="248"/>
      <c r="K39" s="248"/>
      <c r="L39" s="248"/>
      <c r="M39" s="248"/>
      <c r="N39" s="248"/>
      <c r="O39" s="247"/>
      <c r="P39" s="249"/>
      <c r="Q39" s="249"/>
      <c r="R39" s="249"/>
      <c r="S39" s="249"/>
      <c r="T39" s="249"/>
      <c r="U39" s="249"/>
      <c r="V39" s="249"/>
      <c r="W39" s="249"/>
      <c r="X39" s="249"/>
      <c r="Y39" s="249"/>
      <c r="Z39" s="249"/>
      <c r="AA39" s="249"/>
      <c r="AB39" s="249"/>
      <c r="AC39" s="249"/>
      <c r="AD39" s="247"/>
      <c r="AE39" s="249"/>
      <c r="AF39" s="249"/>
      <c r="AG39" s="249"/>
      <c r="AH39" s="249"/>
      <c r="AI39" s="249"/>
      <c r="AJ39" s="249"/>
      <c r="AK39" s="249"/>
      <c r="AL39" s="249"/>
      <c r="AM39" s="249"/>
      <c r="AN39" s="249"/>
      <c r="AO39" s="249"/>
      <c r="AP39" s="249"/>
      <c r="AQ39" s="249"/>
      <c r="AR39" s="249"/>
      <c r="AS39" s="247"/>
      <c r="AT39" s="249"/>
      <c r="AU39" s="249"/>
      <c r="AV39" s="249"/>
      <c r="AW39" s="249"/>
      <c r="AX39" s="249"/>
      <c r="AY39" s="249"/>
      <c r="AZ39" s="249"/>
      <c r="BA39" s="249"/>
      <c r="BB39" s="249"/>
      <c r="BC39" s="249"/>
      <c r="BD39" s="249"/>
      <c r="BE39" s="249"/>
      <c r="BF39" s="249"/>
      <c r="BG39" s="249"/>
    </row>
    <row r="41" spans="1:59" x14ac:dyDescent="0.45">
      <c r="A41" s="466" t="s">
        <v>273</v>
      </c>
      <c r="B41" s="448"/>
      <c r="C41" s="448"/>
      <c r="D41" s="448"/>
      <c r="E41" s="448"/>
      <c r="F41" s="448"/>
      <c r="G41" s="448"/>
      <c r="H41" s="448"/>
      <c r="I41" s="448"/>
      <c r="J41" s="448"/>
      <c r="K41" s="448"/>
      <c r="L41" s="448"/>
      <c r="M41" s="448"/>
      <c r="N41" s="448"/>
      <c r="O41" s="448"/>
      <c r="P41" s="448"/>
      <c r="Q41" s="448"/>
      <c r="R41" s="448"/>
      <c r="S41" s="448"/>
      <c r="T41" s="448"/>
      <c r="U41" s="448"/>
      <c r="V41" s="448"/>
      <c r="W41" s="448"/>
      <c r="X41" s="448"/>
      <c r="Y41" s="448"/>
      <c r="Z41" s="448"/>
      <c r="AA41" s="448"/>
      <c r="AB41" s="448"/>
      <c r="AC41" s="448"/>
      <c r="AD41" s="448"/>
      <c r="AE41" s="448"/>
      <c r="AF41" s="448"/>
      <c r="AG41" s="448"/>
      <c r="AH41" s="448"/>
      <c r="AI41" s="448"/>
      <c r="AJ41" s="448"/>
      <c r="AK41" s="448"/>
      <c r="AL41" s="448"/>
      <c r="AM41" s="448"/>
      <c r="AN41" s="448"/>
      <c r="AO41" s="448"/>
      <c r="AP41" s="448"/>
      <c r="AQ41" s="448"/>
      <c r="AR41" s="448"/>
      <c r="AS41" s="448"/>
      <c r="AT41" s="448"/>
      <c r="AU41" s="448"/>
      <c r="AV41" s="448"/>
      <c r="AW41" s="448"/>
      <c r="AX41" s="448"/>
      <c r="AY41" s="448"/>
      <c r="AZ41" s="448"/>
      <c r="BA41" s="448"/>
      <c r="BB41" s="448"/>
      <c r="BC41" s="448"/>
      <c r="BD41" s="448"/>
      <c r="BE41" s="448"/>
      <c r="BF41" s="448"/>
      <c r="BG41" s="448"/>
    </row>
    <row r="42" spans="1:59" x14ac:dyDescent="0.45">
      <c r="A42" s="249"/>
      <c r="B42" s="249"/>
      <c r="C42" s="249"/>
      <c r="D42" s="249"/>
      <c r="E42" s="249"/>
      <c r="F42" s="249"/>
      <c r="G42" s="249"/>
      <c r="H42" s="249"/>
      <c r="I42" s="249"/>
      <c r="J42" s="248"/>
      <c r="K42" s="248"/>
      <c r="L42" s="248"/>
      <c r="M42" s="248"/>
      <c r="N42" s="248"/>
      <c r="O42" s="247"/>
      <c r="P42" s="249"/>
      <c r="Q42" s="249"/>
      <c r="R42" s="249"/>
      <c r="S42" s="249"/>
      <c r="T42" s="249"/>
      <c r="U42" s="249"/>
      <c r="V42" s="249"/>
      <c r="W42" s="249"/>
      <c r="X42" s="249"/>
      <c r="Y42" s="248"/>
      <c r="Z42" s="248"/>
      <c r="AA42" s="248"/>
      <c r="AB42" s="248"/>
      <c r="AC42" s="248"/>
      <c r="AD42" s="247"/>
      <c r="AE42" s="249"/>
      <c r="AF42" s="249"/>
      <c r="AG42" s="249"/>
      <c r="AH42" s="249"/>
      <c r="AI42" s="249"/>
      <c r="AJ42" s="249"/>
      <c r="AK42" s="249"/>
      <c r="AL42" s="249"/>
      <c r="AM42" s="249"/>
      <c r="AN42" s="248"/>
      <c r="AO42" s="248"/>
      <c r="AP42" s="248"/>
      <c r="AQ42" s="248"/>
      <c r="AR42" s="248"/>
      <c r="AS42" s="247"/>
      <c r="AT42" s="249"/>
      <c r="AU42" s="249"/>
      <c r="AV42" s="249"/>
      <c r="AW42" s="249"/>
      <c r="AX42" s="249"/>
      <c r="AY42" s="249"/>
      <c r="AZ42" s="249"/>
      <c r="BA42" s="249"/>
      <c r="BB42" s="249"/>
      <c r="BC42" s="248"/>
      <c r="BD42" s="248"/>
      <c r="BE42" s="248"/>
      <c r="BF42" s="248"/>
      <c r="BG42" s="248"/>
    </row>
    <row r="43" spans="1:59" x14ac:dyDescent="0.45">
      <c r="A43" s="249"/>
      <c r="B43" s="249"/>
      <c r="C43" s="249"/>
      <c r="D43" s="249"/>
      <c r="E43" s="249"/>
      <c r="F43" s="249"/>
      <c r="G43" s="249"/>
      <c r="H43" s="249"/>
      <c r="I43" s="249"/>
      <c r="J43" s="248"/>
      <c r="K43" s="248"/>
      <c r="L43" s="248"/>
      <c r="M43" s="248"/>
      <c r="N43" s="248"/>
      <c r="O43" s="247"/>
      <c r="P43" s="249"/>
      <c r="Q43" s="249"/>
      <c r="R43" s="249"/>
      <c r="S43" s="249"/>
      <c r="T43" s="249"/>
      <c r="U43" s="249"/>
      <c r="V43" s="249"/>
      <c r="W43" s="249"/>
      <c r="X43" s="249"/>
      <c r="Y43" s="248"/>
      <c r="Z43" s="248"/>
      <c r="AA43" s="248"/>
      <c r="AB43" s="248"/>
      <c r="AC43" s="248"/>
      <c r="AD43" s="247"/>
      <c r="AE43" s="249"/>
      <c r="AF43" s="249"/>
      <c r="AG43" s="249"/>
      <c r="AH43" s="249"/>
      <c r="AI43" s="249"/>
      <c r="AJ43" s="249"/>
      <c r="AK43" s="249"/>
      <c r="AL43" s="249"/>
      <c r="AM43" s="249"/>
      <c r="AN43" s="248"/>
      <c r="AO43" s="248"/>
      <c r="AP43" s="248"/>
      <c r="AQ43" s="248"/>
      <c r="AR43" s="248"/>
      <c r="AS43" s="247"/>
      <c r="AT43" s="249"/>
      <c r="AU43" s="249"/>
      <c r="AV43" s="249"/>
      <c r="AW43" s="249"/>
      <c r="AX43" s="249"/>
      <c r="AY43" s="249"/>
      <c r="AZ43" s="249"/>
      <c r="BA43" s="249"/>
      <c r="BB43" s="249"/>
      <c r="BC43" s="248"/>
      <c r="BD43" s="248"/>
      <c r="BE43" s="248"/>
      <c r="BF43" s="248"/>
      <c r="BG43" s="248"/>
    </row>
    <row r="44" spans="1:59" x14ac:dyDescent="0.45">
      <c r="A44" s="249"/>
      <c r="B44" s="249"/>
      <c r="C44" s="249"/>
      <c r="D44" s="249"/>
      <c r="E44" s="249"/>
      <c r="F44" s="249"/>
      <c r="G44" s="249"/>
      <c r="H44" s="249"/>
      <c r="I44" s="249"/>
      <c r="J44" s="249"/>
      <c r="K44" s="249"/>
      <c r="L44" s="249"/>
      <c r="M44" s="249"/>
      <c r="N44" s="249"/>
      <c r="O44" s="247"/>
      <c r="P44" s="249"/>
      <c r="Q44" s="249"/>
      <c r="R44" s="249"/>
      <c r="S44" s="249"/>
      <c r="T44" s="249"/>
      <c r="U44" s="249"/>
      <c r="V44" s="249"/>
      <c r="W44" s="249"/>
      <c r="X44" s="249"/>
      <c r="Y44" s="249"/>
      <c r="Z44" s="249"/>
      <c r="AA44" s="249"/>
      <c r="AB44" s="249"/>
      <c r="AC44" s="249"/>
      <c r="AD44" s="247"/>
      <c r="AE44" s="249"/>
      <c r="AF44" s="249"/>
      <c r="AG44" s="249"/>
      <c r="AH44" s="249"/>
      <c r="AI44" s="249"/>
      <c r="AJ44" s="249"/>
      <c r="AK44" s="249"/>
      <c r="AL44" s="249"/>
      <c r="AM44" s="249"/>
      <c r="AN44" s="249"/>
      <c r="AO44" s="249"/>
      <c r="AP44" s="249"/>
      <c r="AQ44" s="249"/>
      <c r="AR44" s="249"/>
      <c r="AS44" s="247"/>
      <c r="AT44" s="249"/>
      <c r="AU44" s="249"/>
      <c r="AV44" s="249"/>
      <c r="AW44" s="249"/>
      <c r="AX44" s="249"/>
      <c r="AY44" s="249"/>
      <c r="AZ44" s="249"/>
      <c r="BA44" s="249"/>
      <c r="BB44" s="249"/>
      <c r="BC44" s="249"/>
      <c r="BD44" s="249"/>
      <c r="BE44" s="249"/>
      <c r="BF44" s="249"/>
      <c r="BG44" s="249"/>
    </row>
    <row r="45" spans="1:59" x14ac:dyDescent="0.45">
      <c r="A45" s="449"/>
      <c r="B45" s="450"/>
      <c r="C45" s="249"/>
      <c r="D45" s="457"/>
      <c r="E45" s="458"/>
      <c r="F45" s="249"/>
      <c r="G45" s="449"/>
      <c r="H45" s="450"/>
      <c r="I45" s="249"/>
      <c r="J45" s="449"/>
      <c r="K45" s="450"/>
      <c r="L45" s="249"/>
      <c r="M45" s="461" t="s">
        <v>81</v>
      </c>
      <c r="N45" s="462"/>
      <c r="O45" s="247"/>
      <c r="P45" s="449"/>
      <c r="Q45" s="450"/>
      <c r="R45" s="249"/>
      <c r="S45" s="457"/>
      <c r="T45" s="458"/>
      <c r="U45" s="249"/>
      <c r="V45" s="449"/>
      <c r="W45" s="450"/>
      <c r="X45" s="249"/>
      <c r="Y45" s="449"/>
      <c r="Z45" s="450"/>
      <c r="AA45" s="249"/>
      <c r="AB45" s="461" t="s">
        <v>81</v>
      </c>
      <c r="AC45" s="462"/>
      <c r="AD45" s="247"/>
      <c r="AE45" s="457"/>
      <c r="AF45" s="458"/>
      <c r="AG45" s="249"/>
      <c r="AH45" s="449"/>
      <c r="AI45" s="450"/>
      <c r="AJ45" s="249"/>
      <c r="AK45" s="449"/>
      <c r="AL45" s="450"/>
      <c r="AM45" s="249"/>
      <c r="AN45" s="461"/>
      <c r="AO45" s="462"/>
      <c r="AP45" s="246"/>
      <c r="AQ45" s="246"/>
      <c r="AR45" s="246"/>
      <c r="AS45" s="247"/>
      <c r="AT45" s="449"/>
      <c r="AU45" s="450"/>
      <c r="AV45" s="249"/>
      <c r="AW45" s="457"/>
      <c r="AX45" s="458"/>
      <c r="AY45" s="249"/>
      <c r="AZ45" s="449" t="s">
        <v>54</v>
      </c>
      <c r="BA45" s="450"/>
      <c r="BB45" s="249"/>
      <c r="BC45" s="449" t="s">
        <v>53</v>
      </c>
      <c r="BD45" s="450"/>
      <c r="BE45" s="249"/>
      <c r="BF45" s="461" t="s">
        <v>81</v>
      </c>
      <c r="BG45" s="462"/>
    </row>
    <row r="46" spans="1:59" x14ac:dyDescent="0.45">
      <c r="A46" s="451"/>
      <c r="B46" s="452"/>
      <c r="C46" s="249"/>
      <c r="D46" s="459"/>
      <c r="E46" s="460"/>
      <c r="F46" s="249"/>
      <c r="G46" s="451"/>
      <c r="H46" s="452"/>
      <c r="I46" s="249"/>
      <c r="J46" s="451"/>
      <c r="K46" s="452"/>
      <c r="L46" s="249"/>
      <c r="M46" s="463"/>
      <c r="N46" s="464"/>
      <c r="O46" s="247"/>
      <c r="P46" s="451"/>
      <c r="Q46" s="452"/>
      <c r="R46" s="249"/>
      <c r="S46" s="459"/>
      <c r="T46" s="460"/>
      <c r="U46" s="249"/>
      <c r="V46" s="451"/>
      <c r="W46" s="452"/>
      <c r="X46" s="249"/>
      <c r="Y46" s="451"/>
      <c r="Z46" s="452"/>
      <c r="AA46" s="249"/>
      <c r="AB46" s="463"/>
      <c r="AC46" s="464"/>
      <c r="AD46" s="247"/>
      <c r="AE46" s="459"/>
      <c r="AF46" s="460"/>
      <c r="AG46" s="249"/>
      <c r="AH46" s="451"/>
      <c r="AI46" s="452"/>
      <c r="AJ46" s="249"/>
      <c r="AK46" s="451"/>
      <c r="AL46" s="452"/>
      <c r="AM46" s="249"/>
      <c r="AN46" s="463"/>
      <c r="AO46" s="464"/>
      <c r="AP46" s="246"/>
      <c r="AQ46" s="246"/>
      <c r="AR46" s="246"/>
      <c r="AS46" s="247"/>
      <c r="AT46" s="451"/>
      <c r="AU46" s="452"/>
      <c r="AV46" s="249"/>
      <c r="AW46" s="459"/>
      <c r="AX46" s="460"/>
      <c r="AY46" s="249"/>
      <c r="AZ46" s="451"/>
      <c r="BA46" s="452"/>
      <c r="BB46" s="249"/>
      <c r="BC46" s="451"/>
      <c r="BD46" s="452"/>
      <c r="BE46" s="249"/>
      <c r="BF46" s="463"/>
      <c r="BG46" s="464"/>
    </row>
    <row r="47" spans="1:59" x14ac:dyDescent="0.45">
      <c r="A47" s="248"/>
      <c r="B47" s="248"/>
      <c r="C47" s="249"/>
      <c r="D47" s="248"/>
      <c r="E47" s="248"/>
      <c r="F47" s="249"/>
      <c r="G47" s="248"/>
      <c r="H47" s="248"/>
      <c r="I47" s="249"/>
      <c r="J47" s="248"/>
      <c r="K47" s="248"/>
      <c r="L47" s="248"/>
      <c r="M47" s="248"/>
      <c r="N47" s="248"/>
      <c r="O47" s="247"/>
      <c r="P47" s="249"/>
      <c r="Q47" s="249"/>
      <c r="R47" s="249"/>
      <c r="S47" s="249"/>
      <c r="T47" s="249"/>
      <c r="U47" s="249"/>
      <c r="V47" s="249"/>
      <c r="W47" s="249"/>
      <c r="X47" s="249"/>
      <c r="Y47" s="248"/>
      <c r="Z47" s="248"/>
      <c r="AA47" s="248"/>
      <c r="AB47" s="248"/>
      <c r="AC47" s="248"/>
      <c r="AD47" s="247"/>
      <c r="AE47" s="249"/>
      <c r="AF47" s="249"/>
      <c r="AG47" s="249"/>
      <c r="AH47" s="249"/>
      <c r="AI47" s="249"/>
      <c r="AJ47" s="249"/>
      <c r="AK47" s="249"/>
      <c r="AL47" s="249"/>
      <c r="AM47" s="249"/>
      <c r="AN47" s="248"/>
      <c r="AO47" s="248"/>
      <c r="AP47" s="248"/>
      <c r="AQ47" s="248"/>
      <c r="AR47" s="248"/>
      <c r="AS47" s="247"/>
      <c r="AT47" s="249"/>
      <c r="AU47" s="249"/>
      <c r="AV47" s="249"/>
      <c r="AW47" s="249"/>
      <c r="AX47" s="249"/>
      <c r="AY47" s="249"/>
      <c r="AZ47" s="249"/>
      <c r="BA47" s="249"/>
      <c r="BB47" s="249"/>
      <c r="BC47" s="248"/>
      <c r="BD47" s="248"/>
      <c r="BE47" s="248"/>
      <c r="BF47" s="248"/>
      <c r="BG47" s="248"/>
    </row>
    <row r="48" spans="1:59" x14ac:dyDescent="0.45">
      <c r="A48" s="248"/>
      <c r="B48" s="248"/>
      <c r="C48" s="248"/>
      <c r="D48" s="248"/>
      <c r="E48" s="248"/>
      <c r="F48" s="249"/>
      <c r="G48" s="248"/>
      <c r="H48" s="248"/>
      <c r="I48" s="248"/>
      <c r="J48" s="248"/>
      <c r="K48" s="248"/>
      <c r="L48" s="248"/>
      <c r="M48" s="248"/>
      <c r="N48" s="248"/>
      <c r="O48" s="247"/>
      <c r="P48" s="249"/>
      <c r="Q48" s="249"/>
      <c r="R48" s="249"/>
      <c r="S48" s="249"/>
      <c r="T48" s="249"/>
      <c r="U48" s="249"/>
      <c r="V48" s="249"/>
      <c r="W48" s="249"/>
      <c r="X48" s="249"/>
      <c r="Y48" s="248"/>
      <c r="Z48" s="248"/>
      <c r="AA48" s="248"/>
      <c r="AB48" s="248"/>
      <c r="AC48" s="248"/>
      <c r="AD48" s="247"/>
      <c r="AE48" s="249"/>
      <c r="AF48" s="249"/>
      <c r="AG48" s="249"/>
      <c r="AH48" s="249"/>
      <c r="AI48" s="249"/>
      <c r="AJ48" s="249"/>
      <c r="AK48" s="249"/>
      <c r="AL48" s="249"/>
      <c r="AM48" s="249"/>
      <c r="AN48" s="248"/>
      <c r="AO48" s="248"/>
      <c r="AP48" s="248"/>
      <c r="AQ48" s="248"/>
      <c r="AR48" s="248"/>
      <c r="AS48" s="247"/>
      <c r="AT48" s="249"/>
      <c r="AU48" s="249"/>
      <c r="AV48" s="249"/>
      <c r="AW48" s="249"/>
      <c r="AX48" s="249"/>
      <c r="AY48" s="249"/>
      <c r="AZ48" s="249"/>
      <c r="BA48" s="249"/>
      <c r="BB48" s="249"/>
      <c r="BC48" s="248"/>
      <c r="BD48" s="248"/>
      <c r="BE48" s="248"/>
      <c r="BF48" s="248"/>
      <c r="BG48" s="248"/>
    </row>
    <row r="49" spans="1:59" x14ac:dyDescent="0.45">
      <c r="A49" s="248"/>
      <c r="B49" s="248"/>
      <c r="C49" s="248"/>
      <c r="D49" s="248"/>
      <c r="E49" s="248"/>
      <c r="F49" s="248"/>
      <c r="G49" s="248"/>
      <c r="H49" s="248"/>
      <c r="I49" s="248"/>
      <c r="J49" s="248"/>
      <c r="K49" s="248"/>
      <c r="L49" s="248"/>
      <c r="M49" s="248"/>
      <c r="N49" s="248"/>
      <c r="O49" s="247"/>
      <c r="P49" s="249"/>
      <c r="Q49" s="249"/>
      <c r="R49" s="249"/>
      <c r="S49" s="249"/>
      <c r="T49" s="249"/>
      <c r="U49" s="249"/>
      <c r="V49" s="249"/>
      <c r="W49" s="249"/>
      <c r="X49" s="249"/>
      <c r="Y49" s="249"/>
      <c r="Z49" s="249"/>
      <c r="AA49" s="249"/>
      <c r="AB49" s="249"/>
      <c r="AC49" s="249"/>
      <c r="AD49" s="247"/>
      <c r="AE49" s="249"/>
      <c r="AF49" s="249"/>
      <c r="AG49" s="249"/>
      <c r="AH49" s="249"/>
      <c r="AI49" s="249"/>
      <c r="AJ49" s="249"/>
      <c r="AK49" s="249"/>
      <c r="AL49" s="249"/>
      <c r="AM49" s="249"/>
      <c r="AN49" s="249"/>
      <c r="AO49" s="249"/>
      <c r="AP49" s="249"/>
      <c r="AQ49" s="249"/>
      <c r="AR49" s="249"/>
      <c r="AS49" s="247"/>
      <c r="AT49" s="249"/>
      <c r="AU49" s="249"/>
      <c r="AV49" s="249"/>
      <c r="AW49" s="249"/>
      <c r="AX49" s="249"/>
      <c r="AY49" s="249"/>
      <c r="AZ49" s="249"/>
      <c r="BA49" s="249"/>
      <c r="BB49" s="249"/>
      <c r="BC49" s="249"/>
      <c r="BD49" s="249"/>
      <c r="BE49" s="249"/>
      <c r="BF49" s="249"/>
      <c r="BG49" s="249"/>
    </row>
    <row r="51" spans="1:59" x14ac:dyDescent="0.45">
      <c r="A51" s="448" t="s">
        <v>275</v>
      </c>
      <c r="B51" s="448"/>
      <c r="C51" s="448"/>
      <c r="D51" s="448"/>
      <c r="E51" s="448"/>
      <c r="F51" s="448"/>
      <c r="G51" s="448"/>
      <c r="H51" s="448"/>
      <c r="I51" s="448"/>
      <c r="J51" s="448"/>
      <c r="K51" s="448"/>
      <c r="L51" s="448"/>
      <c r="M51" s="448"/>
      <c r="N51" s="448"/>
      <c r="O51" s="448"/>
      <c r="P51" s="448"/>
      <c r="Q51" s="448"/>
      <c r="R51" s="448"/>
      <c r="S51" s="448"/>
      <c r="T51" s="448"/>
      <c r="U51" s="448"/>
      <c r="V51" s="448"/>
      <c r="W51" s="448"/>
      <c r="X51" s="448"/>
      <c r="Y51" s="448"/>
      <c r="Z51" s="448"/>
      <c r="AA51" s="448"/>
      <c r="AB51" s="448"/>
      <c r="AC51" s="448"/>
      <c r="AD51" s="448"/>
      <c r="AE51" s="448"/>
      <c r="AF51" s="448"/>
      <c r="AG51" s="448"/>
      <c r="AH51" s="448"/>
      <c r="AI51" s="448"/>
      <c r="AJ51" s="448"/>
      <c r="AK51" s="448"/>
      <c r="AL51" s="448"/>
      <c r="AM51" s="448"/>
      <c r="AN51" s="448"/>
      <c r="AO51" s="448"/>
      <c r="AP51" s="448"/>
      <c r="AQ51" s="448"/>
      <c r="AR51" s="448"/>
      <c r="AS51" s="448"/>
      <c r="AT51" s="448"/>
      <c r="AU51" s="448"/>
      <c r="AV51" s="448"/>
      <c r="AW51" s="448"/>
      <c r="AX51" s="448"/>
      <c r="AY51" s="448"/>
      <c r="AZ51" s="448"/>
      <c r="BA51" s="448"/>
      <c r="BB51" s="448"/>
      <c r="BC51" s="448"/>
      <c r="BD51" s="448"/>
      <c r="BE51" s="448"/>
      <c r="BF51" s="448"/>
      <c r="BG51" s="448"/>
    </row>
    <row r="52" spans="1:59" x14ac:dyDescent="0.45">
      <c r="A52" s="249"/>
      <c r="B52" s="249"/>
      <c r="C52" s="249"/>
      <c r="D52" s="249"/>
      <c r="E52" s="249"/>
      <c r="F52" s="249"/>
      <c r="G52" s="249"/>
      <c r="H52" s="249"/>
      <c r="I52" s="249"/>
      <c r="J52" s="248"/>
      <c r="K52" s="248"/>
      <c r="L52" s="248"/>
      <c r="M52" s="248"/>
      <c r="N52" s="248"/>
      <c r="O52" s="247"/>
      <c r="P52" s="249"/>
      <c r="Q52" s="249"/>
      <c r="R52" s="249"/>
      <c r="S52" s="249"/>
      <c r="T52" s="249"/>
      <c r="U52" s="249"/>
      <c r="V52" s="249"/>
      <c r="W52" s="249"/>
      <c r="X52" s="249"/>
      <c r="Y52" s="248"/>
      <c r="Z52" s="248"/>
      <c r="AA52" s="248"/>
      <c r="AB52" s="248"/>
      <c r="AC52" s="248"/>
      <c r="AD52" s="247"/>
      <c r="AE52" s="249"/>
      <c r="AF52" s="249"/>
      <c r="AG52" s="249"/>
      <c r="AH52" s="249"/>
      <c r="AI52" s="249"/>
      <c r="AJ52" s="249"/>
      <c r="AK52" s="249"/>
      <c r="AL52" s="249"/>
      <c r="AM52" s="249"/>
      <c r="AN52" s="248"/>
      <c r="AO52" s="248"/>
      <c r="AP52" s="248"/>
      <c r="AQ52" s="248"/>
      <c r="AR52" s="248"/>
      <c r="AS52" s="247"/>
      <c r="AT52" s="249"/>
      <c r="AU52" s="249"/>
      <c r="AV52" s="249"/>
      <c r="AW52" s="249"/>
      <c r="AX52" s="249"/>
      <c r="AY52" s="249"/>
      <c r="AZ52" s="249"/>
      <c r="BA52" s="249"/>
      <c r="BB52" s="249"/>
      <c r="BC52" s="248"/>
      <c r="BD52" s="248"/>
      <c r="BE52" s="248"/>
      <c r="BF52" s="248"/>
      <c r="BG52" s="248"/>
    </row>
    <row r="53" spans="1:59" x14ac:dyDescent="0.45">
      <c r="A53" s="249"/>
      <c r="B53" s="249"/>
      <c r="C53" s="249"/>
      <c r="D53" s="249"/>
      <c r="E53" s="249"/>
      <c r="F53" s="249"/>
      <c r="G53" s="249"/>
      <c r="H53" s="249"/>
      <c r="I53" s="249"/>
      <c r="J53" s="248"/>
      <c r="K53" s="248"/>
      <c r="L53" s="248"/>
      <c r="M53" s="248"/>
      <c r="N53" s="248"/>
      <c r="O53" s="247"/>
      <c r="P53" s="249"/>
      <c r="Q53" s="249"/>
      <c r="R53" s="249"/>
      <c r="S53" s="249"/>
      <c r="T53" s="249"/>
      <c r="U53" s="249"/>
      <c r="V53" s="249"/>
      <c r="W53" s="249"/>
      <c r="X53" s="249"/>
      <c r="Y53" s="248"/>
      <c r="Z53" s="248"/>
      <c r="AA53" s="248"/>
      <c r="AB53" s="248"/>
      <c r="AC53" s="248"/>
      <c r="AD53" s="247"/>
      <c r="AE53" s="249"/>
      <c r="AF53" s="249"/>
      <c r="AG53" s="249"/>
      <c r="AH53" s="249"/>
      <c r="AI53" s="249"/>
      <c r="AJ53" s="249"/>
      <c r="AK53" s="249"/>
      <c r="AL53" s="249"/>
      <c r="AM53" s="249"/>
      <c r="AN53" s="248"/>
      <c r="AO53" s="248"/>
      <c r="AP53" s="248"/>
      <c r="AQ53" s="248"/>
      <c r="AR53" s="248"/>
      <c r="AS53" s="247"/>
      <c r="AT53" s="249"/>
      <c r="AU53" s="249"/>
      <c r="AV53" s="249"/>
      <c r="AW53" s="249"/>
      <c r="AX53" s="249"/>
      <c r="AY53" s="249"/>
      <c r="AZ53" s="249"/>
      <c r="BA53" s="249"/>
      <c r="BB53" s="249"/>
      <c r="BC53" s="248"/>
      <c r="BD53" s="248"/>
      <c r="BE53" s="248"/>
      <c r="BF53" s="248"/>
      <c r="BG53" s="248"/>
    </row>
    <row r="54" spans="1:59" x14ac:dyDescent="0.45">
      <c r="A54" s="249"/>
      <c r="B54" s="249"/>
      <c r="C54" s="249"/>
      <c r="D54" s="249"/>
      <c r="E54" s="249"/>
      <c r="F54" s="249"/>
      <c r="G54" s="249"/>
      <c r="H54" s="249"/>
      <c r="I54" s="249"/>
      <c r="J54" s="249"/>
      <c r="K54" s="249"/>
      <c r="L54" s="249"/>
      <c r="M54" s="249"/>
      <c r="N54" s="249"/>
      <c r="O54" s="247"/>
      <c r="P54" s="249"/>
      <c r="Q54" s="249"/>
      <c r="R54" s="249"/>
      <c r="S54" s="249"/>
      <c r="T54" s="249"/>
      <c r="U54" s="249"/>
      <c r="V54" s="249"/>
      <c r="W54" s="249"/>
      <c r="X54" s="249"/>
      <c r="Y54" s="249"/>
      <c r="Z54" s="249"/>
      <c r="AA54" s="249"/>
      <c r="AB54" s="249"/>
      <c r="AC54" s="249"/>
      <c r="AD54" s="247"/>
      <c r="AE54" s="249"/>
      <c r="AF54" s="249"/>
      <c r="AG54" s="249"/>
      <c r="AH54" s="249"/>
      <c r="AI54" s="249"/>
      <c r="AJ54" s="249"/>
      <c r="AK54" s="249"/>
      <c r="AL54" s="249"/>
      <c r="AM54" s="249"/>
      <c r="AN54" s="249"/>
      <c r="AO54" s="249"/>
      <c r="AP54" s="249"/>
      <c r="AQ54" s="249"/>
      <c r="AR54" s="249"/>
      <c r="AS54" s="247"/>
      <c r="AT54" s="249"/>
      <c r="AU54" s="249"/>
      <c r="AV54" s="249"/>
      <c r="AW54" s="249"/>
      <c r="AX54" s="249"/>
      <c r="AY54" s="249"/>
      <c r="AZ54" s="249"/>
      <c r="BA54" s="249"/>
      <c r="BB54" s="249"/>
      <c r="BC54" s="249"/>
      <c r="BD54" s="249"/>
      <c r="BE54" s="249"/>
      <c r="BF54" s="249"/>
      <c r="BG54" s="249"/>
    </row>
    <row r="55" spans="1:59" x14ac:dyDescent="0.45">
      <c r="A55" s="449"/>
      <c r="B55" s="450"/>
      <c r="C55" s="249"/>
      <c r="D55" s="449"/>
      <c r="E55" s="450"/>
      <c r="F55" s="249"/>
      <c r="G55" s="457"/>
      <c r="H55" s="458"/>
      <c r="I55" s="249"/>
      <c r="J55" s="449"/>
      <c r="K55" s="450"/>
      <c r="L55" s="249"/>
      <c r="M55" s="461" t="s">
        <v>81</v>
      </c>
      <c r="N55" s="462"/>
      <c r="O55" s="247"/>
      <c r="P55" s="449"/>
      <c r="Q55" s="450"/>
      <c r="R55" s="249"/>
      <c r="S55" s="449"/>
      <c r="T55" s="450"/>
      <c r="U55" s="249"/>
      <c r="V55" s="457"/>
      <c r="W55" s="458"/>
      <c r="X55" s="249"/>
      <c r="Y55" s="449"/>
      <c r="Z55" s="450"/>
      <c r="AA55" s="249"/>
      <c r="AB55" s="461" t="s">
        <v>81</v>
      </c>
      <c r="AC55" s="462"/>
      <c r="AD55" s="247"/>
      <c r="AE55" s="449"/>
      <c r="AF55" s="450"/>
      <c r="AG55" s="249"/>
      <c r="AH55" s="449"/>
      <c r="AI55" s="450"/>
      <c r="AJ55" s="249"/>
      <c r="AK55" s="457"/>
      <c r="AL55" s="458"/>
      <c r="AM55" s="249"/>
      <c r="AN55" s="461"/>
      <c r="AO55" s="462"/>
      <c r="AP55" s="246"/>
      <c r="AQ55" s="246"/>
      <c r="AR55" s="246"/>
      <c r="AS55" s="247"/>
      <c r="AT55" s="453" t="s">
        <v>54</v>
      </c>
      <c r="AU55" s="454"/>
      <c r="AV55" s="249"/>
      <c r="AW55" s="449" t="s">
        <v>53</v>
      </c>
      <c r="AX55" s="450"/>
      <c r="AY55" s="249"/>
      <c r="AZ55" s="465" t="s">
        <v>84</v>
      </c>
      <c r="BA55" s="450"/>
      <c r="BB55" s="249"/>
      <c r="BC55" s="449"/>
      <c r="BD55" s="450"/>
      <c r="BE55" s="249"/>
      <c r="BF55" s="449"/>
      <c r="BG55" s="450"/>
    </row>
    <row r="56" spans="1:59" x14ac:dyDescent="0.45">
      <c r="A56" s="451"/>
      <c r="B56" s="452"/>
      <c r="C56" s="249"/>
      <c r="D56" s="451"/>
      <c r="E56" s="452"/>
      <c r="F56" s="249"/>
      <c r="G56" s="459"/>
      <c r="H56" s="460"/>
      <c r="I56" s="249"/>
      <c r="J56" s="451"/>
      <c r="K56" s="452"/>
      <c r="L56" s="249"/>
      <c r="M56" s="463"/>
      <c r="N56" s="464"/>
      <c r="O56" s="247"/>
      <c r="P56" s="451"/>
      <c r="Q56" s="452"/>
      <c r="R56" s="249"/>
      <c r="S56" s="451"/>
      <c r="T56" s="452"/>
      <c r="U56" s="249"/>
      <c r="V56" s="459"/>
      <c r="W56" s="460"/>
      <c r="X56" s="249"/>
      <c r="Y56" s="451"/>
      <c r="Z56" s="452"/>
      <c r="AA56" s="249"/>
      <c r="AB56" s="463"/>
      <c r="AC56" s="464"/>
      <c r="AD56" s="247"/>
      <c r="AE56" s="451"/>
      <c r="AF56" s="452"/>
      <c r="AG56" s="249"/>
      <c r="AH56" s="451"/>
      <c r="AI56" s="452"/>
      <c r="AJ56" s="249"/>
      <c r="AK56" s="459"/>
      <c r="AL56" s="460"/>
      <c r="AM56" s="249"/>
      <c r="AN56" s="463"/>
      <c r="AO56" s="464"/>
      <c r="AP56" s="246"/>
      <c r="AQ56" s="246"/>
      <c r="AR56" s="246"/>
      <c r="AS56" s="247"/>
      <c r="AT56" s="455"/>
      <c r="AU56" s="456"/>
      <c r="AV56" s="249"/>
      <c r="AW56" s="451"/>
      <c r="AX56" s="452"/>
      <c r="AY56" s="249"/>
      <c r="AZ56" s="451"/>
      <c r="BA56" s="452"/>
      <c r="BB56" s="249"/>
      <c r="BC56" s="451"/>
      <c r="BD56" s="452"/>
      <c r="BE56" s="249"/>
      <c r="BF56" s="451"/>
      <c r="BG56" s="452"/>
    </row>
    <row r="57" spans="1:59" x14ac:dyDescent="0.45">
      <c r="A57" s="248"/>
      <c r="B57" s="248"/>
      <c r="C57" s="249"/>
      <c r="D57" s="248"/>
      <c r="E57" s="248"/>
      <c r="F57" s="249"/>
      <c r="G57" s="248"/>
      <c r="H57" s="248"/>
      <c r="I57" s="249"/>
      <c r="J57" s="248"/>
      <c r="K57" s="248"/>
      <c r="L57" s="248"/>
      <c r="M57" s="248"/>
      <c r="N57" s="248"/>
      <c r="O57" s="247"/>
      <c r="P57" s="249"/>
      <c r="Q57" s="249"/>
      <c r="R57" s="249"/>
      <c r="S57" s="249"/>
      <c r="T57" s="249"/>
      <c r="U57" s="249"/>
      <c r="V57" s="249"/>
      <c r="W57" s="249"/>
      <c r="X57" s="249"/>
      <c r="Y57" s="248"/>
      <c r="Z57" s="248"/>
      <c r="AA57" s="248"/>
      <c r="AB57" s="248"/>
      <c r="AC57" s="248"/>
      <c r="AD57" s="247"/>
      <c r="AE57" s="249"/>
      <c r="AF57" s="249"/>
      <c r="AG57" s="249"/>
      <c r="AH57" s="249"/>
      <c r="AI57" s="249"/>
      <c r="AJ57" s="249"/>
      <c r="AK57" s="249"/>
      <c r="AL57" s="249"/>
      <c r="AM57" s="249"/>
      <c r="AN57" s="248"/>
      <c r="AO57" s="248"/>
      <c r="AP57" s="248"/>
      <c r="AQ57" s="248"/>
      <c r="AR57" s="248"/>
      <c r="AS57" s="247"/>
      <c r="AT57" s="249"/>
      <c r="AU57" s="249"/>
      <c r="AV57" s="249"/>
      <c r="AW57" s="249"/>
      <c r="AX57" s="249"/>
      <c r="AY57" s="249"/>
      <c r="AZ57" s="249"/>
      <c r="BA57" s="249"/>
      <c r="BB57" s="249"/>
      <c r="BC57" s="248"/>
      <c r="BD57" s="248"/>
      <c r="BE57" s="248"/>
      <c r="BF57" s="248"/>
      <c r="BG57" s="248"/>
    </row>
    <row r="58" spans="1:59" x14ac:dyDescent="0.45">
      <c r="A58" s="248"/>
      <c r="B58" s="248"/>
      <c r="C58" s="248"/>
      <c r="D58" s="248"/>
      <c r="E58" s="248"/>
      <c r="F58" s="249"/>
      <c r="G58" s="248"/>
      <c r="H58" s="248"/>
      <c r="I58" s="248"/>
      <c r="J58" s="248"/>
      <c r="K58" s="248"/>
      <c r="L58" s="248"/>
      <c r="M58" s="248"/>
      <c r="N58" s="248"/>
      <c r="O58" s="247"/>
      <c r="P58" s="249"/>
      <c r="Q58" s="249"/>
      <c r="R58" s="249"/>
      <c r="S58" s="249"/>
      <c r="T58" s="249"/>
      <c r="U58" s="249"/>
      <c r="V58" s="249"/>
      <c r="W58" s="249"/>
      <c r="X58" s="249"/>
      <c r="Y58" s="248"/>
      <c r="Z58" s="248"/>
      <c r="AA58" s="248"/>
      <c r="AB58" s="248"/>
      <c r="AC58" s="248"/>
      <c r="AD58" s="247"/>
      <c r="AE58" s="249"/>
      <c r="AF58" s="249"/>
      <c r="AG58" s="249"/>
      <c r="AH58" s="249"/>
      <c r="AI58" s="249"/>
      <c r="AJ58" s="249"/>
      <c r="AK58" s="249"/>
      <c r="AL58" s="249"/>
      <c r="AM58" s="249"/>
      <c r="AN58" s="248"/>
      <c r="AO58" s="248"/>
      <c r="AP58" s="248"/>
      <c r="AQ58" s="248"/>
      <c r="AR58" s="248"/>
      <c r="AS58" s="247"/>
      <c r="AT58" s="249"/>
      <c r="AU58" s="249"/>
      <c r="AV58" s="249"/>
      <c r="AW58" s="249"/>
      <c r="AX58" s="249"/>
      <c r="AY58" s="249"/>
      <c r="AZ58" s="249"/>
      <c r="BA58" s="249"/>
      <c r="BB58" s="249"/>
      <c r="BC58" s="248"/>
      <c r="BD58" s="248"/>
      <c r="BE58" s="248"/>
      <c r="BF58" s="248"/>
      <c r="BG58" s="248"/>
    </row>
    <row r="59" spans="1:59" x14ac:dyDescent="0.45">
      <c r="A59" s="248"/>
      <c r="B59" s="248"/>
      <c r="C59" s="248"/>
      <c r="D59" s="248"/>
      <c r="E59" s="248"/>
      <c r="F59" s="248"/>
      <c r="G59" s="248"/>
      <c r="H59" s="248"/>
      <c r="I59" s="248"/>
      <c r="J59" s="248"/>
      <c r="K59" s="248"/>
      <c r="L59" s="248"/>
      <c r="M59" s="248"/>
      <c r="N59" s="248"/>
      <c r="O59" s="247"/>
      <c r="P59" s="249"/>
      <c r="Q59" s="249"/>
      <c r="R59" s="249"/>
      <c r="S59" s="249"/>
      <c r="T59" s="249"/>
      <c r="U59" s="249"/>
      <c r="V59" s="249"/>
      <c r="W59" s="249"/>
      <c r="X59" s="249"/>
      <c r="Y59" s="249"/>
      <c r="Z59" s="249"/>
      <c r="AA59" s="249"/>
      <c r="AB59" s="249"/>
      <c r="AC59" s="249"/>
      <c r="AD59" s="247"/>
      <c r="AE59" s="249"/>
      <c r="AF59" s="249"/>
      <c r="AG59" s="249"/>
      <c r="AH59" s="249"/>
      <c r="AI59" s="249"/>
      <c r="AJ59" s="249"/>
      <c r="AK59" s="249"/>
      <c r="AL59" s="249"/>
      <c r="AM59" s="249"/>
      <c r="AN59" s="249"/>
      <c r="AO59" s="249"/>
      <c r="AP59" s="249"/>
      <c r="AQ59" s="249"/>
      <c r="AR59" s="249"/>
      <c r="AS59" s="247"/>
      <c r="AT59" s="249"/>
      <c r="AU59" s="249"/>
      <c r="AV59" s="249"/>
      <c r="AW59" s="249"/>
      <c r="AX59" s="249"/>
      <c r="AY59" s="249"/>
      <c r="AZ59" s="249"/>
      <c r="BA59" s="249"/>
      <c r="BB59" s="249"/>
      <c r="BC59" s="249"/>
      <c r="BD59" s="249"/>
      <c r="BE59" s="249"/>
      <c r="BF59" s="249"/>
      <c r="BG59" s="249"/>
    </row>
    <row r="60" spans="1:59" x14ac:dyDescent="0.45">
      <c r="A60" s="469" t="s">
        <v>274</v>
      </c>
      <c r="B60" s="448"/>
      <c r="C60" s="448"/>
      <c r="D60" s="448"/>
      <c r="E60" s="448"/>
      <c r="F60" s="448"/>
      <c r="G60" s="448"/>
      <c r="H60" s="448"/>
      <c r="I60" s="448"/>
      <c r="J60" s="448"/>
      <c r="K60" s="448"/>
      <c r="L60" s="448"/>
      <c r="M60" s="448"/>
      <c r="N60" s="448"/>
      <c r="O60" s="448"/>
      <c r="P60" s="448"/>
      <c r="Q60" s="448"/>
      <c r="R60" s="448"/>
      <c r="S60" s="448"/>
      <c r="T60" s="448"/>
      <c r="U60" s="448"/>
      <c r="V60" s="448"/>
      <c r="W60" s="448"/>
      <c r="X60" s="448"/>
      <c r="Y60" s="448"/>
      <c r="Z60" s="448"/>
      <c r="AA60" s="448"/>
      <c r="AB60" s="448"/>
      <c r="AC60" s="448"/>
      <c r="AD60" s="448"/>
      <c r="AE60" s="448"/>
      <c r="AF60" s="448"/>
      <c r="AG60" s="448"/>
      <c r="AH60" s="448"/>
      <c r="AI60" s="448"/>
      <c r="AJ60" s="448"/>
      <c r="AK60" s="448"/>
      <c r="AL60" s="448"/>
      <c r="AM60" s="448"/>
      <c r="AN60" s="448"/>
      <c r="AO60" s="448"/>
      <c r="AP60" s="448"/>
      <c r="AQ60" s="448"/>
      <c r="AR60" s="448"/>
      <c r="AS60" s="448"/>
      <c r="AT60" s="448"/>
      <c r="AU60" s="448"/>
      <c r="AV60" s="448"/>
      <c r="AW60" s="448"/>
      <c r="AX60" s="448"/>
      <c r="AY60" s="448"/>
      <c r="AZ60" s="448"/>
      <c r="BA60" s="448"/>
      <c r="BB60" s="448"/>
      <c r="BC60" s="448"/>
      <c r="BD60" s="448"/>
      <c r="BE60" s="448"/>
      <c r="BF60" s="448"/>
      <c r="BG60" s="448"/>
    </row>
    <row r="61" spans="1:59" x14ac:dyDescent="0.45">
      <c r="A61" s="249"/>
      <c r="B61" s="249"/>
      <c r="C61" s="249"/>
      <c r="D61" s="249"/>
      <c r="E61" s="249"/>
      <c r="F61" s="249"/>
      <c r="G61" s="249"/>
      <c r="H61" s="249"/>
      <c r="I61" s="249"/>
      <c r="J61" s="248"/>
      <c r="K61" s="248"/>
      <c r="L61" s="248"/>
      <c r="M61" s="248"/>
      <c r="N61" s="248"/>
      <c r="O61" s="247"/>
      <c r="P61" s="249"/>
      <c r="Q61" s="249"/>
      <c r="R61" s="249"/>
      <c r="S61" s="249"/>
      <c r="T61" s="249"/>
      <c r="U61" s="249"/>
      <c r="V61" s="249"/>
      <c r="W61" s="249"/>
      <c r="X61" s="249"/>
      <c r="Y61" s="248"/>
      <c r="Z61" s="248"/>
      <c r="AA61" s="248"/>
      <c r="AB61" s="248"/>
      <c r="AC61" s="248"/>
      <c r="AD61" s="247"/>
      <c r="AE61" s="249"/>
      <c r="AF61" s="249"/>
      <c r="AG61" s="249"/>
      <c r="AH61" s="249"/>
      <c r="AI61" s="249"/>
      <c r="AJ61" s="249"/>
      <c r="AK61" s="249"/>
      <c r="AL61" s="249"/>
      <c r="AM61" s="249"/>
      <c r="AN61" s="248"/>
      <c r="AO61" s="248"/>
      <c r="AP61" s="248"/>
      <c r="AQ61" s="248"/>
      <c r="AR61" s="248"/>
      <c r="AS61" s="247"/>
      <c r="AT61" s="249"/>
      <c r="AU61" s="249"/>
      <c r="AV61" s="249"/>
      <c r="AW61" s="249"/>
      <c r="AX61" s="249"/>
      <c r="AY61" s="249"/>
      <c r="AZ61" s="249"/>
      <c r="BA61" s="249"/>
      <c r="BB61" s="249"/>
      <c r="BC61" s="248"/>
      <c r="BD61" s="248"/>
      <c r="BE61" s="248"/>
      <c r="BF61" s="248"/>
      <c r="BG61" s="248"/>
    </row>
    <row r="62" spans="1:59" x14ac:dyDescent="0.45">
      <c r="A62" s="249"/>
      <c r="B62" s="249"/>
      <c r="C62" s="249"/>
      <c r="D62" s="249"/>
      <c r="E62" s="249"/>
      <c r="F62" s="249"/>
      <c r="G62" s="249"/>
      <c r="H62" s="249"/>
      <c r="I62" s="249"/>
      <c r="J62" s="248"/>
      <c r="K62" s="248"/>
      <c r="L62" s="248"/>
      <c r="M62" s="248"/>
      <c r="N62" s="248"/>
      <c r="O62" s="247"/>
      <c r="P62" s="249"/>
      <c r="Q62" s="249"/>
      <c r="R62" s="249"/>
      <c r="S62" s="249"/>
      <c r="T62" s="249"/>
      <c r="U62" s="249"/>
      <c r="V62" s="249"/>
      <c r="W62" s="249"/>
      <c r="X62" s="249"/>
      <c r="Y62" s="248"/>
      <c r="Z62" s="248"/>
      <c r="AA62" s="248"/>
      <c r="AB62" s="248"/>
      <c r="AC62" s="248"/>
      <c r="AD62" s="247"/>
      <c r="AE62" s="249"/>
      <c r="AF62" s="249"/>
      <c r="AG62" s="249"/>
      <c r="AH62" s="249"/>
      <c r="AI62" s="249"/>
      <c r="AJ62" s="249"/>
      <c r="AK62" s="249"/>
      <c r="AL62" s="249"/>
      <c r="AM62" s="249"/>
      <c r="AN62" s="248"/>
      <c r="AO62" s="248"/>
      <c r="AP62" s="248"/>
      <c r="AQ62" s="248"/>
      <c r="AR62" s="248"/>
      <c r="AS62" s="247"/>
      <c r="AT62" s="249"/>
      <c r="AU62" s="249"/>
      <c r="AV62" s="249"/>
      <c r="AW62" s="249"/>
      <c r="AX62" s="249"/>
      <c r="AY62" s="249"/>
      <c r="AZ62" s="249"/>
      <c r="BA62" s="249"/>
      <c r="BB62" s="249"/>
      <c r="BC62" s="248"/>
      <c r="BD62" s="248"/>
      <c r="BE62" s="248"/>
      <c r="BF62" s="248"/>
      <c r="BG62" s="248"/>
    </row>
    <row r="63" spans="1:59" x14ac:dyDescent="0.45">
      <c r="A63" s="249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7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Z63" s="249"/>
      <c r="AA63" s="249"/>
      <c r="AB63" s="249"/>
      <c r="AC63" s="249"/>
      <c r="AD63" s="247"/>
      <c r="AE63" s="249"/>
      <c r="AF63" s="249"/>
      <c r="AG63" s="249"/>
      <c r="AH63" s="249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  <c r="AS63" s="247"/>
      <c r="AT63" s="249"/>
      <c r="AU63" s="249"/>
      <c r="AV63" s="249"/>
      <c r="AW63" s="249"/>
      <c r="AX63" s="249"/>
      <c r="AY63" s="249"/>
      <c r="AZ63" s="249"/>
      <c r="BA63" s="249"/>
      <c r="BB63" s="249"/>
      <c r="BC63" s="249"/>
      <c r="BD63" s="249"/>
      <c r="BE63" s="249"/>
      <c r="BF63" s="249"/>
      <c r="BG63" s="249"/>
    </row>
    <row r="64" spans="1:59" x14ac:dyDescent="0.45">
      <c r="A64" s="449"/>
      <c r="B64" s="450"/>
      <c r="C64" s="249"/>
      <c r="D64" s="449"/>
      <c r="E64" s="450"/>
      <c r="F64" s="249"/>
      <c r="G64" s="457"/>
      <c r="H64" s="458"/>
      <c r="I64" s="249"/>
      <c r="J64" s="449"/>
      <c r="K64" s="450"/>
      <c r="L64" s="249"/>
      <c r="M64" s="461" t="s">
        <v>81</v>
      </c>
      <c r="N64" s="462"/>
      <c r="O64" s="247"/>
      <c r="P64" s="449"/>
      <c r="Q64" s="450"/>
      <c r="R64" s="249"/>
      <c r="S64" s="449"/>
      <c r="T64" s="450"/>
      <c r="U64" s="249"/>
      <c r="V64" s="457"/>
      <c r="W64" s="458"/>
      <c r="X64" s="249"/>
      <c r="Y64" s="449"/>
      <c r="Z64" s="450"/>
      <c r="AA64" s="249"/>
      <c r="AB64" s="461" t="s">
        <v>81</v>
      </c>
      <c r="AC64" s="462"/>
      <c r="AD64" s="247"/>
      <c r="AE64" s="449"/>
      <c r="AF64" s="450"/>
      <c r="AG64" s="249"/>
      <c r="AH64" s="449"/>
      <c r="AI64" s="450"/>
      <c r="AJ64" s="249"/>
      <c r="AK64" s="457"/>
      <c r="AL64" s="458"/>
      <c r="AM64" s="249"/>
      <c r="AN64" s="461"/>
      <c r="AO64" s="462"/>
      <c r="AP64" s="246"/>
      <c r="AQ64" s="246"/>
      <c r="AR64" s="246"/>
      <c r="AS64" s="247"/>
      <c r="AT64" s="453" t="s">
        <v>54</v>
      </c>
      <c r="AU64" s="454"/>
      <c r="AV64" s="249"/>
      <c r="AW64" s="449" t="s">
        <v>53</v>
      </c>
      <c r="AX64" s="450"/>
      <c r="AY64" s="249"/>
      <c r="AZ64" s="465" t="s">
        <v>84</v>
      </c>
      <c r="BA64" s="450"/>
      <c r="BB64" s="249"/>
      <c r="BC64" s="465"/>
      <c r="BD64" s="450"/>
      <c r="BE64" s="249"/>
      <c r="BF64" s="449"/>
      <c r="BG64" s="450"/>
    </row>
    <row r="65" spans="1:59" x14ac:dyDescent="0.45">
      <c r="A65" s="451"/>
      <c r="B65" s="452"/>
      <c r="C65" s="249"/>
      <c r="D65" s="451"/>
      <c r="E65" s="452"/>
      <c r="F65" s="249"/>
      <c r="G65" s="459"/>
      <c r="H65" s="460"/>
      <c r="I65" s="249"/>
      <c r="J65" s="451"/>
      <c r="K65" s="452"/>
      <c r="L65" s="249"/>
      <c r="M65" s="463"/>
      <c r="N65" s="464"/>
      <c r="O65" s="247"/>
      <c r="P65" s="451"/>
      <c r="Q65" s="452"/>
      <c r="R65" s="249"/>
      <c r="S65" s="451"/>
      <c r="T65" s="452"/>
      <c r="U65" s="249"/>
      <c r="V65" s="459"/>
      <c r="W65" s="460"/>
      <c r="X65" s="249"/>
      <c r="Y65" s="451"/>
      <c r="Z65" s="452"/>
      <c r="AA65" s="249"/>
      <c r="AB65" s="463"/>
      <c r="AC65" s="464"/>
      <c r="AD65" s="247"/>
      <c r="AE65" s="451"/>
      <c r="AF65" s="452"/>
      <c r="AG65" s="249"/>
      <c r="AH65" s="451"/>
      <c r="AI65" s="452"/>
      <c r="AJ65" s="249"/>
      <c r="AK65" s="459"/>
      <c r="AL65" s="460"/>
      <c r="AM65" s="249"/>
      <c r="AN65" s="463"/>
      <c r="AO65" s="464"/>
      <c r="AP65" s="246"/>
      <c r="AQ65" s="246"/>
      <c r="AR65" s="246"/>
      <c r="AS65" s="247"/>
      <c r="AT65" s="455"/>
      <c r="AU65" s="456"/>
      <c r="AV65" s="249"/>
      <c r="AW65" s="451"/>
      <c r="AX65" s="452"/>
      <c r="AY65" s="249"/>
      <c r="AZ65" s="451"/>
      <c r="BA65" s="452"/>
      <c r="BB65" s="249"/>
      <c r="BC65" s="451"/>
      <c r="BD65" s="452"/>
      <c r="BE65" s="249"/>
      <c r="BF65" s="451"/>
      <c r="BG65" s="452"/>
    </row>
    <row r="66" spans="1:59" x14ac:dyDescent="0.45">
      <c r="A66" s="248"/>
      <c r="B66" s="248"/>
      <c r="C66" s="249"/>
      <c r="D66" s="248"/>
      <c r="E66" s="248"/>
      <c r="F66" s="249"/>
      <c r="G66" s="248"/>
      <c r="H66" s="248"/>
      <c r="I66" s="249"/>
      <c r="J66" s="248"/>
      <c r="K66" s="248"/>
      <c r="L66" s="248"/>
      <c r="M66" s="248"/>
      <c r="N66" s="248"/>
      <c r="O66" s="247"/>
      <c r="P66" s="249"/>
      <c r="Q66" s="249"/>
      <c r="R66" s="249"/>
      <c r="S66" s="249"/>
      <c r="T66" s="249"/>
      <c r="U66" s="249"/>
      <c r="V66" s="249"/>
      <c r="W66" s="249"/>
      <c r="X66" s="249"/>
      <c r="Y66" s="248"/>
      <c r="Z66" s="248"/>
      <c r="AA66" s="248"/>
      <c r="AB66" s="248"/>
      <c r="AC66" s="248"/>
      <c r="AD66" s="247"/>
      <c r="AE66" s="249"/>
      <c r="AF66" s="249"/>
      <c r="AG66" s="249"/>
      <c r="AH66" s="249"/>
      <c r="AI66" s="249"/>
      <c r="AJ66" s="249"/>
      <c r="AK66" s="249"/>
      <c r="AL66" s="249"/>
      <c r="AM66" s="249"/>
      <c r="AN66" s="248"/>
      <c r="AO66" s="248"/>
      <c r="AP66" s="248"/>
      <c r="AQ66" s="248"/>
      <c r="AR66" s="248"/>
      <c r="AS66" s="247"/>
      <c r="AT66" s="249"/>
      <c r="AU66" s="249"/>
      <c r="AV66" s="249"/>
      <c r="AW66" s="249"/>
      <c r="AX66" s="249"/>
      <c r="AY66" s="249"/>
      <c r="AZ66" s="249"/>
      <c r="BA66" s="249"/>
      <c r="BB66" s="249"/>
      <c r="BC66" s="248"/>
      <c r="BD66" s="248"/>
      <c r="BE66" s="248"/>
      <c r="BF66" s="248"/>
      <c r="BG66" s="248"/>
    </row>
    <row r="67" spans="1:59" x14ac:dyDescent="0.45">
      <c r="A67" s="248"/>
      <c r="B67" s="248"/>
      <c r="C67" s="248"/>
      <c r="D67" s="248"/>
      <c r="E67" s="248"/>
      <c r="F67" s="249"/>
      <c r="G67" s="248"/>
      <c r="H67" s="248"/>
      <c r="I67" s="248"/>
      <c r="J67" s="248"/>
      <c r="K67" s="248"/>
      <c r="L67" s="248"/>
      <c r="M67" s="248"/>
      <c r="N67" s="248"/>
      <c r="O67" s="247"/>
      <c r="P67" s="249"/>
      <c r="Q67" s="249"/>
      <c r="R67" s="249"/>
      <c r="S67" s="249"/>
      <c r="T67" s="249"/>
      <c r="U67" s="249"/>
      <c r="V67" s="249"/>
      <c r="W67" s="249"/>
      <c r="X67" s="249"/>
      <c r="Y67" s="248"/>
      <c r="Z67" s="248"/>
      <c r="AA67" s="248"/>
      <c r="AB67" s="248"/>
      <c r="AC67" s="248"/>
      <c r="AD67" s="247"/>
      <c r="AE67" s="249"/>
      <c r="AF67" s="249"/>
      <c r="AG67" s="249"/>
      <c r="AH67" s="249"/>
      <c r="AI67" s="249"/>
      <c r="AJ67" s="249"/>
      <c r="AK67" s="249"/>
      <c r="AL67" s="249"/>
      <c r="AM67" s="249"/>
      <c r="AN67" s="248"/>
      <c r="AO67" s="248"/>
      <c r="AP67" s="248"/>
      <c r="AQ67" s="248"/>
      <c r="AR67" s="248"/>
      <c r="AS67" s="247"/>
      <c r="AT67" s="249"/>
      <c r="AU67" s="249"/>
      <c r="AV67" s="249"/>
      <c r="AW67" s="249"/>
      <c r="AX67" s="249"/>
      <c r="AY67" s="249"/>
      <c r="AZ67" s="249"/>
      <c r="BA67" s="249"/>
      <c r="BB67" s="249"/>
      <c r="BC67" s="248"/>
      <c r="BD67" s="248"/>
      <c r="BE67" s="248"/>
      <c r="BF67" s="248"/>
      <c r="BG67" s="248"/>
    </row>
    <row r="68" spans="1:59" x14ac:dyDescent="0.45">
      <c r="A68" s="248"/>
      <c r="B68" s="248"/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7"/>
      <c r="P68" s="249"/>
      <c r="Q68" s="249"/>
      <c r="R68" s="249"/>
      <c r="S68" s="249"/>
      <c r="T68" s="249"/>
      <c r="U68" s="249"/>
      <c r="V68" s="249"/>
      <c r="W68" s="249"/>
      <c r="X68" s="249"/>
      <c r="Y68" s="249"/>
      <c r="Z68" s="249"/>
      <c r="AA68" s="249"/>
      <c r="AB68" s="249"/>
      <c r="AC68" s="249"/>
      <c r="AD68" s="247"/>
      <c r="AE68" s="249"/>
      <c r="AF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  <c r="AS68" s="247"/>
      <c r="AT68" s="249"/>
      <c r="AU68" s="249"/>
      <c r="AV68" s="249"/>
      <c r="AW68" s="249"/>
      <c r="AX68" s="249"/>
      <c r="AY68" s="249"/>
      <c r="AZ68" s="249"/>
      <c r="BA68" s="249"/>
      <c r="BB68" s="249"/>
      <c r="BC68" s="249"/>
      <c r="BD68" s="249"/>
      <c r="BE68" s="249"/>
      <c r="BF68" s="249"/>
      <c r="BG68" s="249"/>
    </row>
    <row r="69" spans="1:59" x14ac:dyDescent="0.45">
      <c r="A69" s="470" t="s">
        <v>268</v>
      </c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8"/>
      <c r="Q69" s="448"/>
      <c r="R69" s="448"/>
      <c r="S69" s="448"/>
      <c r="T69" s="448"/>
      <c r="U69" s="448"/>
      <c r="V69" s="448"/>
      <c r="W69" s="448"/>
      <c r="X69" s="448"/>
      <c r="Y69" s="448"/>
      <c r="Z69" s="448"/>
      <c r="AA69" s="448"/>
      <c r="AB69" s="448"/>
      <c r="AC69" s="448"/>
      <c r="AD69" s="448"/>
      <c r="AE69" s="448"/>
      <c r="AF69" s="448"/>
      <c r="AG69" s="448"/>
      <c r="AH69" s="448"/>
      <c r="AI69" s="448"/>
      <c r="AJ69" s="448"/>
      <c r="AK69" s="448"/>
      <c r="AL69" s="448"/>
      <c r="AM69" s="448"/>
      <c r="AN69" s="448"/>
      <c r="AO69" s="448"/>
      <c r="AP69" s="448"/>
      <c r="AQ69" s="448"/>
      <c r="AR69" s="448"/>
      <c r="AS69" s="448"/>
      <c r="AT69" s="448"/>
      <c r="AU69" s="448"/>
      <c r="AV69" s="448"/>
      <c r="AW69" s="448"/>
      <c r="AX69" s="448"/>
      <c r="AY69" s="448"/>
      <c r="AZ69" s="448"/>
      <c r="BA69" s="448"/>
      <c r="BB69" s="448"/>
      <c r="BC69" s="448"/>
      <c r="BD69" s="448"/>
      <c r="BE69" s="448"/>
      <c r="BF69" s="448"/>
      <c r="BG69" s="448"/>
    </row>
    <row r="70" spans="1:59" x14ac:dyDescent="0.45">
      <c r="A70" s="249"/>
      <c r="B70" s="249"/>
      <c r="C70" s="249"/>
      <c r="D70" s="249"/>
      <c r="E70" s="249"/>
      <c r="F70" s="249"/>
      <c r="G70" s="249"/>
      <c r="H70" s="249"/>
      <c r="I70" s="249"/>
      <c r="J70" s="248"/>
      <c r="K70" s="248"/>
      <c r="L70" s="248"/>
      <c r="M70" s="248"/>
      <c r="N70" s="248"/>
      <c r="O70" s="247"/>
      <c r="P70" s="249"/>
      <c r="Q70" s="249"/>
      <c r="R70" s="249"/>
      <c r="S70" s="249"/>
      <c r="T70" s="249"/>
      <c r="U70" s="249"/>
      <c r="V70" s="249"/>
      <c r="W70" s="249"/>
      <c r="X70" s="249"/>
      <c r="Y70" s="248"/>
      <c r="Z70" s="248"/>
      <c r="AA70" s="248"/>
      <c r="AB70" s="248"/>
      <c r="AC70" s="248"/>
      <c r="AD70" s="247"/>
      <c r="AE70" s="249"/>
      <c r="AF70" s="249"/>
      <c r="AG70" s="249"/>
      <c r="AH70" s="249"/>
      <c r="AI70" s="249"/>
      <c r="AJ70" s="249"/>
      <c r="AK70" s="249"/>
      <c r="AL70" s="249"/>
      <c r="AM70" s="249"/>
      <c r="AN70" s="248"/>
      <c r="AO70" s="248"/>
      <c r="AP70" s="248"/>
      <c r="AQ70" s="248"/>
      <c r="AR70" s="248"/>
      <c r="AS70" s="247"/>
      <c r="AT70" s="249"/>
      <c r="AU70" s="249"/>
      <c r="AV70" s="249"/>
      <c r="AW70" s="249"/>
      <c r="AX70" s="249"/>
      <c r="AY70" s="249"/>
      <c r="AZ70" s="249"/>
      <c r="BA70" s="249"/>
      <c r="BB70" s="249"/>
      <c r="BC70" s="248"/>
      <c r="BD70" s="248"/>
      <c r="BE70" s="248"/>
      <c r="BF70" s="248"/>
      <c r="BG70" s="248"/>
    </row>
    <row r="71" spans="1:59" x14ac:dyDescent="0.45">
      <c r="A71" s="249"/>
      <c r="B71" s="249"/>
      <c r="C71" s="249"/>
      <c r="D71" s="249"/>
      <c r="E71" s="249"/>
      <c r="F71" s="249"/>
      <c r="G71" s="249"/>
      <c r="H71" s="249"/>
      <c r="I71" s="249"/>
      <c r="J71" s="248"/>
      <c r="K71" s="248"/>
      <c r="L71" s="248"/>
      <c r="M71" s="248"/>
      <c r="N71" s="248"/>
      <c r="O71" s="247"/>
      <c r="P71" s="249"/>
      <c r="Q71" s="249"/>
      <c r="R71" s="249"/>
      <c r="S71" s="249"/>
      <c r="T71" s="249"/>
      <c r="U71" s="249"/>
      <c r="V71" s="249"/>
      <c r="W71" s="249"/>
      <c r="X71" s="249"/>
      <c r="Y71" s="248"/>
      <c r="Z71" s="248"/>
      <c r="AA71" s="248"/>
      <c r="AB71" s="248"/>
      <c r="AC71" s="248"/>
      <c r="AD71" s="247"/>
      <c r="AE71" s="249"/>
      <c r="AF71" s="249"/>
      <c r="AG71" s="249"/>
      <c r="AH71" s="249"/>
      <c r="AI71" s="249"/>
      <c r="AJ71" s="249"/>
      <c r="AK71" s="249"/>
      <c r="AL71" s="249"/>
      <c r="AM71" s="249"/>
      <c r="AN71" s="248"/>
      <c r="AO71" s="248"/>
      <c r="AP71" s="248"/>
      <c r="AQ71" s="248"/>
      <c r="AR71" s="248"/>
      <c r="AS71" s="247"/>
      <c r="AT71" s="249"/>
      <c r="AU71" s="249"/>
      <c r="AV71" s="249"/>
      <c r="AW71" s="249"/>
      <c r="AX71" s="249"/>
      <c r="AY71" s="249"/>
      <c r="AZ71" s="249"/>
      <c r="BA71" s="249"/>
      <c r="BB71" s="249"/>
      <c r="BC71" s="248"/>
      <c r="BD71" s="248"/>
      <c r="BE71" s="248"/>
      <c r="BF71" s="248"/>
      <c r="BG71" s="248"/>
    </row>
    <row r="72" spans="1:59" x14ac:dyDescent="0.45">
      <c r="A72" s="249"/>
      <c r="B72" s="249"/>
      <c r="C72" s="249"/>
      <c r="D72" s="249"/>
      <c r="E72" s="249"/>
      <c r="F72" s="249"/>
      <c r="G72" s="249"/>
      <c r="H72" s="249"/>
      <c r="I72" s="249"/>
      <c r="J72" s="249"/>
      <c r="K72" s="249"/>
      <c r="L72" s="249"/>
      <c r="M72" s="249"/>
      <c r="N72" s="249"/>
      <c r="O72" s="247"/>
      <c r="P72" s="249"/>
      <c r="Q72" s="249"/>
      <c r="R72" s="249"/>
      <c r="S72" s="249"/>
      <c r="T72" s="249"/>
      <c r="U72" s="249"/>
      <c r="V72" s="249"/>
      <c r="W72" s="249"/>
      <c r="X72" s="249"/>
      <c r="Y72" s="249"/>
      <c r="Z72" s="249"/>
      <c r="AA72" s="249"/>
      <c r="AB72" s="249"/>
      <c r="AC72" s="249"/>
      <c r="AD72" s="247"/>
      <c r="AE72" s="249"/>
      <c r="AF72" s="249"/>
      <c r="AG72" s="249"/>
      <c r="AH72" s="249"/>
      <c r="AI72" s="249"/>
      <c r="AJ72" s="249"/>
      <c r="AK72" s="249"/>
      <c r="AL72" s="249"/>
      <c r="AM72" s="249"/>
      <c r="AN72" s="249"/>
      <c r="AO72" s="249"/>
      <c r="AP72" s="249"/>
      <c r="AQ72" s="249"/>
      <c r="AR72" s="249"/>
      <c r="AS72" s="247"/>
      <c r="AT72" s="249"/>
      <c r="AU72" s="249"/>
      <c r="AV72" s="249"/>
      <c r="AW72" s="249"/>
      <c r="AX72" s="249"/>
      <c r="AY72" s="249"/>
      <c r="AZ72" s="249"/>
      <c r="BA72" s="249"/>
      <c r="BB72" s="249"/>
      <c r="BC72" s="249"/>
      <c r="BD72" s="249"/>
      <c r="BE72" s="249"/>
      <c r="BF72" s="249"/>
      <c r="BG72" s="249"/>
    </row>
    <row r="73" spans="1:59" x14ac:dyDescent="0.45">
      <c r="A73" s="449"/>
      <c r="B73" s="450"/>
      <c r="C73" s="249"/>
      <c r="D73" s="449"/>
      <c r="E73" s="450"/>
      <c r="F73" s="249"/>
      <c r="G73" s="457"/>
      <c r="H73" s="458"/>
      <c r="I73" s="249"/>
      <c r="J73" s="449"/>
      <c r="K73" s="450"/>
      <c r="L73" s="249"/>
      <c r="M73" s="461" t="s">
        <v>81</v>
      </c>
      <c r="N73" s="462"/>
      <c r="O73" s="247"/>
      <c r="P73" s="449"/>
      <c r="Q73" s="450"/>
      <c r="R73" s="249"/>
      <c r="S73" s="449"/>
      <c r="T73" s="450"/>
      <c r="U73" s="249"/>
      <c r="V73" s="457"/>
      <c r="W73" s="458"/>
      <c r="X73" s="249"/>
      <c r="Y73" s="449"/>
      <c r="Z73" s="450"/>
      <c r="AA73" s="249"/>
      <c r="AB73" s="461" t="s">
        <v>81</v>
      </c>
      <c r="AC73" s="462"/>
      <c r="AD73" s="247"/>
      <c r="AE73" s="449"/>
      <c r="AF73" s="450"/>
      <c r="AG73" s="249"/>
      <c r="AH73" s="449"/>
      <c r="AI73" s="450"/>
      <c r="AJ73" s="249"/>
      <c r="AK73" s="457"/>
      <c r="AL73" s="458"/>
      <c r="AM73" s="249"/>
      <c r="AN73" s="461"/>
      <c r="AO73" s="462"/>
      <c r="AP73" s="246"/>
      <c r="AQ73" s="246"/>
      <c r="AR73" s="246"/>
      <c r="AS73" s="247"/>
      <c r="AT73" s="453" t="s">
        <v>54</v>
      </c>
      <c r="AU73" s="454"/>
      <c r="AV73" s="249"/>
      <c r="AW73" s="449" t="s">
        <v>53</v>
      </c>
      <c r="AX73" s="450"/>
      <c r="AY73" s="249"/>
      <c r="AZ73" s="465"/>
      <c r="BA73" s="450"/>
      <c r="BB73" s="249"/>
      <c r="BC73" s="465"/>
      <c r="BD73" s="450"/>
      <c r="BE73" s="249"/>
      <c r="BF73" s="449"/>
      <c r="BG73" s="450"/>
    </row>
    <row r="74" spans="1:59" x14ac:dyDescent="0.45">
      <c r="A74" s="451"/>
      <c r="B74" s="452"/>
      <c r="C74" s="249"/>
      <c r="D74" s="451"/>
      <c r="E74" s="452"/>
      <c r="F74" s="249"/>
      <c r="G74" s="459"/>
      <c r="H74" s="460"/>
      <c r="I74" s="249"/>
      <c r="J74" s="451"/>
      <c r="K74" s="452"/>
      <c r="L74" s="249"/>
      <c r="M74" s="463"/>
      <c r="N74" s="464"/>
      <c r="O74" s="247"/>
      <c r="P74" s="451"/>
      <c r="Q74" s="452"/>
      <c r="R74" s="249"/>
      <c r="S74" s="451"/>
      <c r="T74" s="452"/>
      <c r="U74" s="249"/>
      <c r="V74" s="459"/>
      <c r="W74" s="460"/>
      <c r="X74" s="249"/>
      <c r="Y74" s="451"/>
      <c r="Z74" s="452"/>
      <c r="AA74" s="249"/>
      <c r="AB74" s="463"/>
      <c r="AC74" s="464"/>
      <c r="AD74" s="247"/>
      <c r="AE74" s="451"/>
      <c r="AF74" s="452"/>
      <c r="AG74" s="249"/>
      <c r="AH74" s="451"/>
      <c r="AI74" s="452"/>
      <c r="AJ74" s="249"/>
      <c r="AK74" s="459"/>
      <c r="AL74" s="460"/>
      <c r="AM74" s="249"/>
      <c r="AN74" s="463"/>
      <c r="AO74" s="464"/>
      <c r="AP74" s="246"/>
      <c r="AQ74" s="246"/>
      <c r="AR74" s="246"/>
      <c r="AS74" s="247"/>
      <c r="AT74" s="455"/>
      <c r="AU74" s="456"/>
      <c r="AV74" s="249"/>
      <c r="AW74" s="451"/>
      <c r="AX74" s="452"/>
      <c r="AY74" s="249"/>
      <c r="AZ74" s="451"/>
      <c r="BA74" s="452"/>
      <c r="BB74" s="249"/>
      <c r="BC74" s="451"/>
      <c r="BD74" s="452"/>
      <c r="BE74" s="249"/>
      <c r="BF74" s="451"/>
      <c r="BG74" s="452"/>
    </row>
    <row r="75" spans="1:59" x14ac:dyDescent="0.45">
      <c r="A75" s="248"/>
      <c r="B75" s="248"/>
      <c r="C75" s="249"/>
      <c r="D75" s="248"/>
      <c r="E75" s="248"/>
      <c r="F75" s="249"/>
      <c r="G75" s="248"/>
      <c r="H75" s="248"/>
      <c r="I75" s="249"/>
      <c r="J75" s="248"/>
      <c r="K75" s="248"/>
      <c r="L75" s="248"/>
      <c r="M75" s="248"/>
      <c r="N75" s="248"/>
      <c r="O75" s="247"/>
      <c r="P75" s="249"/>
      <c r="Q75" s="249"/>
      <c r="R75" s="249"/>
      <c r="S75" s="249"/>
      <c r="T75" s="249"/>
      <c r="U75" s="249"/>
      <c r="V75" s="249"/>
      <c r="W75" s="249"/>
      <c r="X75" s="249"/>
      <c r="Y75" s="248"/>
      <c r="Z75" s="248"/>
      <c r="AA75" s="248"/>
      <c r="AB75" s="248"/>
      <c r="AC75" s="248"/>
      <c r="AD75" s="247"/>
      <c r="AE75" s="249"/>
      <c r="AF75" s="249"/>
      <c r="AG75" s="249"/>
      <c r="AH75" s="249"/>
      <c r="AI75" s="249"/>
      <c r="AJ75" s="249"/>
      <c r="AK75" s="249"/>
      <c r="AL75" s="249"/>
      <c r="AM75" s="249"/>
      <c r="AN75" s="248"/>
      <c r="AO75" s="248"/>
      <c r="AP75" s="248"/>
      <c r="AQ75" s="248"/>
      <c r="AR75" s="248"/>
      <c r="AS75" s="247"/>
      <c r="AT75" s="249"/>
      <c r="AU75" s="249"/>
      <c r="AV75" s="249"/>
      <c r="AW75" s="249"/>
      <c r="AX75" s="249"/>
      <c r="AY75" s="249"/>
      <c r="AZ75" s="249"/>
      <c r="BA75" s="249"/>
      <c r="BB75" s="249"/>
      <c r="BC75" s="248"/>
      <c r="BD75" s="248"/>
      <c r="BE75" s="248"/>
      <c r="BF75" s="248"/>
      <c r="BG75" s="248"/>
    </row>
    <row r="76" spans="1:59" x14ac:dyDescent="0.45">
      <c r="A76" s="248"/>
      <c r="B76" s="248"/>
      <c r="C76" s="248"/>
      <c r="D76" s="248"/>
      <c r="E76" s="248"/>
      <c r="F76" s="249"/>
      <c r="G76" s="248"/>
      <c r="H76" s="248"/>
      <c r="I76" s="248"/>
      <c r="J76" s="248"/>
      <c r="K76" s="248"/>
      <c r="L76" s="248"/>
      <c r="M76" s="248"/>
      <c r="N76" s="248"/>
      <c r="O76" s="247"/>
      <c r="P76" s="249"/>
      <c r="Q76" s="249"/>
      <c r="R76" s="249"/>
      <c r="S76" s="249"/>
      <c r="T76" s="249"/>
      <c r="U76" s="249"/>
      <c r="V76" s="249"/>
      <c r="W76" s="249"/>
      <c r="X76" s="249"/>
      <c r="Y76" s="248"/>
      <c r="Z76" s="248"/>
      <c r="AA76" s="248"/>
      <c r="AB76" s="248"/>
      <c r="AC76" s="248"/>
      <c r="AD76" s="247"/>
      <c r="AE76" s="249"/>
      <c r="AF76" s="249"/>
      <c r="AG76" s="249"/>
      <c r="AH76" s="249"/>
      <c r="AI76" s="249"/>
      <c r="AJ76" s="249"/>
      <c r="AK76" s="249"/>
      <c r="AL76" s="249"/>
      <c r="AM76" s="249"/>
      <c r="AN76" s="248"/>
      <c r="AO76" s="248"/>
      <c r="AP76" s="248"/>
      <c r="AQ76" s="248"/>
      <c r="AR76" s="248"/>
      <c r="AS76" s="247"/>
      <c r="AT76" s="249"/>
      <c r="AU76" s="249"/>
      <c r="AV76" s="249"/>
      <c r="AW76" s="249"/>
      <c r="AX76" s="249"/>
      <c r="AY76" s="249"/>
      <c r="AZ76" s="249"/>
      <c r="BA76" s="249"/>
      <c r="BB76" s="249"/>
      <c r="BC76" s="248"/>
      <c r="BD76" s="248"/>
      <c r="BE76" s="248"/>
      <c r="BF76" s="248"/>
      <c r="BG76" s="248"/>
    </row>
    <row r="77" spans="1:59" x14ac:dyDescent="0.45">
      <c r="A77" s="248"/>
      <c r="B77" s="248"/>
      <c r="C77" s="248"/>
      <c r="D77" s="248"/>
      <c r="E77" s="248"/>
      <c r="F77" s="248"/>
      <c r="G77" s="248"/>
      <c r="H77" s="248"/>
      <c r="I77" s="248"/>
      <c r="J77" s="248"/>
      <c r="K77" s="248"/>
      <c r="L77" s="248"/>
      <c r="M77" s="248"/>
      <c r="N77" s="248"/>
      <c r="O77" s="247"/>
      <c r="P77" s="249"/>
      <c r="Q77" s="249"/>
      <c r="R77" s="249"/>
      <c r="S77" s="249"/>
      <c r="T77" s="249"/>
      <c r="U77" s="249"/>
      <c r="V77" s="249"/>
      <c r="W77" s="249"/>
      <c r="X77" s="249"/>
      <c r="Y77" s="249"/>
      <c r="Z77" s="249"/>
      <c r="AA77" s="249"/>
      <c r="AB77" s="249"/>
      <c r="AC77" s="249"/>
      <c r="AD77" s="247"/>
      <c r="AE77" s="249"/>
      <c r="AF77" s="249"/>
      <c r="AG77" s="249"/>
      <c r="AH77" s="249"/>
      <c r="AI77" s="249"/>
      <c r="AJ77" s="249"/>
      <c r="AK77" s="249"/>
      <c r="AL77" s="249"/>
      <c r="AM77" s="249"/>
      <c r="AN77" s="249"/>
      <c r="AO77" s="249"/>
      <c r="AP77" s="249"/>
      <c r="AQ77" s="249"/>
      <c r="AR77" s="249"/>
      <c r="AS77" s="247"/>
      <c r="AT77" s="249"/>
      <c r="AU77" s="249"/>
      <c r="AV77" s="249"/>
      <c r="AW77" s="249"/>
      <c r="AX77" s="249"/>
      <c r="AY77" s="249"/>
      <c r="AZ77" s="249"/>
      <c r="BA77" s="249"/>
      <c r="BB77" s="249"/>
      <c r="BC77" s="249"/>
      <c r="BD77" s="249"/>
      <c r="BE77" s="249"/>
      <c r="BF77" s="249"/>
      <c r="BG77" s="249"/>
    </row>
    <row r="78" spans="1:59" x14ac:dyDescent="0.45">
      <c r="A78" s="470" t="s">
        <v>276</v>
      </c>
      <c r="B78" s="448"/>
      <c r="C78" s="448"/>
      <c r="D78" s="448"/>
      <c r="E78" s="448"/>
      <c r="F78" s="448"/>
      <c r="G78" s="448"/>
      <c r="H78" s="448"/>
      <c r="I78" s="448"/>
      <c r="J78" s="448"/>
      <c r="K78" s="448"/>
      <c r="L78" s="448"/>
      <c r="M78" s="448"/>
      <c r="N78" s="448"/>
      <c r="O78" s="448"/>
      <c r="P78" s="448"/>
      <c r="Q78" s="448"/>
      <c r="R78" s="448"/>
      <c r="S78" s="448"/>
      <c r="T78" s="448"/>
      <c r="U78" s="448"/>
      <c r="V78" s="448"/>
      <c r="W78" s="448"/>
      <c r="X78" s="448"/>
      <c r="Y78" s="448"/>
      <c r="Z78" s="448"/>
      <c r="AA78" s="448"/>
      <c r="AB78" s="448"/>
      <c r="AC78" s="448"/>
      <c r="AD78" s="448"/>
      <c r="AE78" s="448"/>
      <c r="AF78" s="448"/>
      <c r="AG78" s="448"/>
      <c r="AH78" s="448"/>
      <c r="AI78" s="448"/>
      <c r="AJ78" s="448"/>
      <c r="AK78" s="448"/>
      <c r="AL78" s="448"/>
      <c r="AM78" s="448"/>
      <c r="AN78" s="448"/>
      <c r="AO78" s="448"/>
      <c r="AP78" s="448"/>
      <c r="AQ78" s="448"/>
      <c r="AR78" s="448"/>
      <c r="AS78" s="448"/>
      <c r="AT78" s="448"/>
      <c r="AU78" s="448"/>
      <c r="AV78" s="448"/>
      <c r="AW78" s="448"/>
      <c r="AX78" s="448"/>
      <c r="AY78" s="448"/>
      <c r="AZ78" s="448"/>
      <c r="BA78" s="448"/>
      <c r="BB78" s="448"/>
      <c r="BC78" s="448"/>
      <c r="BD78" s="448"/>
      <c r="BE78" s="448"/>
      <c r="BF78" s="448"/>
      <c r="BG78" s="448"/>
    </row>
    <row r="79" spans="1:59" x14ac:dyDescent="0.45">
      <c r="A79" s="249"/>
      <c r="B79" s="249"/>
      <c r="C79" s="249"/>
      <c r="D79" s="249"/>
      <c r="E79" s="249"/>
      <c r="F79" s="249"/>
      <c r="G79" s="249"/>
      <c r="H79" s="249"/>
      <c r="I79" s="249"/>
      <c r="J79" s="248"/>
      <c r="K79" s="248"/>
      <c r="L79" s="248"/>
      <c r="M79" s="248"/>
      <c r="N79" s="248"/>
      <c r="O79" s="247"/>
      <c r="P79" s="249"/>
      <c r="Q79" s="249"/>
      <c r="R79" s="249"/>
      <c r="S79" s="249"/>
      <c r="T79" s="249"/>
      <c r="U79" s="249"/>
      <c r="V79" s="249"/>
      <c r="W79" s="249"/>
      <c r="X79" s="249"/>
      <c r="Y79" s="248"/>
      <c r="Z79" s="248"/>
      <c r="AA79" s="248"/>
      <c r="AB79" s="248"/>
      <c r="AC79" s="248"/>
      <c r="AD79" s="247"/>
      <c r="AE79" s="249"/>
      <c r="AF79" s="249"/>
      <c r="AG79" s="249"/>
      <c r="AH79" s="249"/>
      <c r="AI79" s="249"/>
      <c r="AJ79" s="249"/>
      <c r="AK79" s="249"/>
      <c r="AL79" s="249"/>
      <c r="AM79" s="249"/>
      <c r="AN79" s="248"/>
      <c r="AO79" s="248"/>
      <c r="AP79" s="248"/>
      <c r="AQ79" s="248"/>
      <c r="AR79" s="248"/>
      <c r="AS79" s="247"/>
      <c r="AT79" s="249"/>
      <c r="AU79" s="249"/>
      <c r="AV79" s="249"/>
      <c r="AW79" s="249"/>
      <c r="AX79" s="249"/>
      <c r="AY79" s="249"/>
      <c r="AZ79" s="249"/>
      <c r="BA79" s="249"/>
      <c r="BB79" s="249"/>
      <c r="BC79" s="248"/>
      <c r="BD79" s="248"/>
      <c r="BE79" s="248"/>
      <c r="BF79" s="248"/>
      <c r="BG79" s="248"/>
    </row>
    <row r="80" spans="1:59" x14ac:dyDescent="0.45">
      <c r="A80" s="249"/>
      <c r="B80" s="249"/>
      <c r="C80" s="249"/>
      <c r="D80" s="249"/>
      <c r="E80" s="249"/>
      <c r="F80" s="249"/>
      <c r="G80" s="249"/>
      <c r="H80" s="249"/>
      <c r="I80" s="249"/>
      <c r="J80" s="248"/>
      <c r="K80" s="248"/>
      <c r="L80" s="248"/>
      <c r="M80" s="248"/>
      <c r="N80" s="248"/>
      <c r="O80" s="247"/>
      <c r="P80" s="249"/>
      <c r="Q80" s="249"/>
      <c r="R80" s="249"/>
      <c r="S80" s="249"/>
      <c r="T80" s="249"/>
      <c r="U80" s="249"/>
      <c r="V80" s="249"/>
      <c r="W80" s="249"/>
      <c r="X80" s="249"/>
      <c r="Y80" s="248"/>
      <c r="Z80" s="248"/>
      <c r="AA80" s="248"/>
      <c r="AB80" s="248"/>
      <c r="AC80" s="248"/>
      <c r="AD80" s="247"/>
      <c r="AE80" s="249"/>
      <c r="AF80" s="249"/>
      <c r="AG80" s="249"/>
      <c r="AH80" s="249"/>
      <c r="AI80" s="249"/>
      <c r="AJ80" s="249"/>
      <c r="AK80" s="249"/>
      <c r="AL80" s="249"/>
      <c r="AM80" s="249"/>
      <c r="AN80" s="248"/>
      <c r="AO80" s="248"/>
      <c r="AP80" s="248"/>
      <c r="AQ80" s="248"/>
      <c r="AR80" s="248"/>
      <c r="AS80" s="247"/>
      <c r="AT80" s="249"/>
      <c r="AU80" s="249"/>
      <c r="AV80" s="249"/>
      <c r="AW80" s="249"/>
      <c r="AX80" s="249"/>
      <c r="AY80" s="249"/>
      <c r="AZ80" s="249"/>
      <c r="BA80" s="249"/>
      <c r="BB80" s="249"/>
      <c r="BC80" s="248"/>
      <c r="BD80" s="248"/>
      <c r="BE80" s="248"/>
      <c r="BF80" s="248"/>
      <c r="BG80" s="248"/>
    </row>
    <row r="81" spans="1:59" x14ac:dyDescent="0.45">
      <c r="A81" s="249"/>
      <c r="B81" s="249"/>
      <c r="C81" s="249"/>
      <c r="D81" s="249"/>
      <c r="E81" s="249"/>
      <c r="F81" s="249"/>
      <c r="G81" s="249"/>
      <c r="H81" s="249"/>
      <c r="I81" s="249"/>
      <c r="J81" s="249"/>
      <c r="K81" s="249"/>
      <c r="L81" s="249"/>
      <c r="M81" s="249"/>
      <c r="N81" s="249"/>
      <c r="O81" s="247"/>
      <c r="P81" s="249"/>
      <c r="Q81" s="249"/>
      <c r="R81" s="249"/>
      <c r="S81" s="249"/>
      <c r="T81" s="249"/>
      <c r="U81" s="249"/>
      <c r="V81" s="249"/>
      <c r="W81" s="249"/>
      <c r="X81" s="249"/>
      <c r="Y81" s="249"/>
      <c r="Z81" s="249"/>
      <c r="AA81" s="249"/>
      <c r="AB81" s="249"/>
      <c r="AC81" s="249"/>
      <c r="AD81" s="247"/>
      <c r="AE81" s="249"/>
      <c r="AF81" s="249"/>
      <c r="AG81" s="249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7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49"/>
      <c r="BE81" s="249"/>
      <c r="BF81" s="249"/>
      <c r="BG81" s="249"/>
    </row>
    <row r="82" spans="1:59" x14ac:dyDescent="0.45">
      <c r="A82" s="449"/>
      <c r="B82" s="450"/>
      <c r="C82" s="249"/>
      <c r="D82" s="449"/>
      <c r="E82" s="450"/>
      <c r="F82" s="249"/>
      <c r="G82" s="457"/>
      <c r="H82" s="458"/>
      <c r="I82" s="249"/>
      <c r="J82" s="449"/>
      <c r="K82" s="450"/>
      <c r="L82" s="249"/>
      <c r="M82" s="461" t="s">
        <v>81</v>
      </c>
      <c r="N82" s="462"/>
      <c r="O82" s="247"/>
      <c r="P82" s="449"/>
      <c r="Q82" s="450"/>
      <c r="R82" s="249"/>
      <c r="S82" s="449"/>
      <c r="T82" s="450"/>
      <c r="U82" s="249"/>
      <c r="V82" s="457"/>
      <c r="W82" s="458"/>
      <c r="X82" s="249"/>
      <c r="Y82" s="449"/>
      <c r="Z82" s="450"/>
      <c r="AA82" s="249"/>
      <c r="AB82" s="461" t="s">
        <v>81</v>
      </c>
      <c r="AC82" s="462"/>
      <c r="AD82" s="247"/>
      <c r="AE82" s="449"/>
      <c r="AF82" s="450"/>
      <c r="AG82" s="249"/>
      <c r="AH82" s="449"/>
      <c r="AI82" s="450"/>
      <c r="AJ82" s="249"/>
      <c r="AK82" s="457"/>
      <c r="AL82" s="458"/>
      <c r="AM82" s="249"/>
      <c r="AN82" s="461"/>
      <c r="AO82" s="462"/>
      <c r="AP82" s="246"/>
      <c r="AQ82" s="246"/>
      <c r="AR82" s="246"/>
      <c r="AS82" s="247"/>
      <c r="AT82" s="250"/>
      <c r="AU82" s="251"/>
      <c r="AV82" s="249"/>
      <c r="AW82" s="453" t="s">
        <v>54</v>
      </c>
      <c r="AX82" s="454"/>
      <c r="AY82" s="249"/>
      <c r="AZ82" s="449" t="s">
        <v>53</v>
      </c>
      <c r="BA82" s="450"/>
      <c r="BB82" s="249"/>
      <c r="BC82" s="465"/>
      <c r="BD82" s="450"/>
      <c r="BE82" s="249"/>
      <c r="BF82" s="449"/>
      <c r="BG82" s="450"/>
    </row>
    <row r="83" spans="1:59" x14ac:dyDescent="0.45">
      <c r="A83" s="451"/>
      <c r="B83" s="452"/>
      <c r="C83" s="249"/>
      <c r="D83" s="451"/>
      <c r="E83" s="452"/>
      <c r="F83" s="249"/>
      <c r="G83" s="459"/>
      <c r="H83" s="460"/>
      <c r="I83" s="249"/>
      <c r="J83" s="451"/>
      <c r="K83" s="452"/>
      <c r="L83" s="249"/>
      <c r="M83" s="463"/>
      <c r="N83" s="464"/>
      <c r="O83" s="247"/>
      <c r="P83" s="451"/>
      <c r="Q83" s="452"/>
      <c r="R83" s="249"/>
      <c r="S83" s="451"/>
      <c r="T83" s="452"/>
      <c r="U83" s="249"/>
      <c r="V83" s="459"/>
      <c r="W83" s="460"/>
      <c r="X83" s="249"/>
      <c r="Y83" s="451"/>
      <c r="Z83" s="452"/>
      <c r="AA83" s="249"/>
      <c r="AB83" s="463"/>
      <c r="AC83" s="464"/>
      <c r="AD83" s="247"/>
      <c r="AE83" s="451"/>
      <c r="AF83" s="452"/>
      <c r="AG83" s="249"/>
      <c r="AH83" s="451"/>
      <c r="AI83" s="452"/>
      <c r="AJ83" s="249"/>
      <c r="AK83" s="459"/>
      <c r="AL83" s="460"/>
      <c r="AM83" s="249"/>
      <c r="AN83" s="463"/>
      <c r="AO83" s="464"/>
      <c r="AP83" s="246"/>
      <c r="AQ83" s="246"/>
      <c r="AR83" s="246"/>
      <c r="AS83" s="247"/>
      <c r="AT83" s="252"/>
      <c r="AU83" s="253"/>
      <c r="AV83" s="249"/>
      <c r="AW83" s="455"/>
      <c r="AX83" s="456"/>
      <c r="AY83" s="249"/>
      <c r="AZ83" s="451"/>
      <c r="BA83" s="452"/>
      <c r="BB83" s="249"/>
      <c r="BC83" s="451"/>
      <c r="BD83" s="452"/>
      <c r="BE83" s="249"/>
      <c r="BF83" s="451"/>
      <c r="BG83" s="452"/>
    </row>
    <row r="84" spans="1:59" x14ac:dyDescent="0.45">
      <c r="A84" s="248"/>
      <c r="B84" s="248"/>
      <c r="C84" s="249"/>
      <c r="D84" s="248"/>
      <c r="E84" s="248"/>
      <c r="F84" s="249"/>
      <c r="G84" s="248"/>
      <c r="H84" s="248"/>
      <c r="I84" s="249"/>
      <c r="J84" s="248"/>
      <c r="K84" s="248"/>
      <c r="L84" s="248"/>
      <c r="M84" s="248"/>
      <c r="N84" s="248"/>
      <c r="O84" s="247"/>
      <c r="P84" s="249"/>
      <c r="Q84" s="249"/>
      <c r="R84" s="249"/>
      <c r="S84" s="249"/>
      <c r="T84" s="249"/>
      <c r="U84" s="249"/>
      <c r="V84" s="249"/>
      <c r="W84" s="249"/>
      <c r="X84" s="249"/>
      <c r="Y84" s="248"/>
      <c r="Z84" s="248"/>
      <c r="AA84" s="248"/>
      <c r="AB84" s="248"/>
      <c r="AC84" s="248"/>
      <c r="AD84" s="247"/>
      <c r="AE84" s="249"/>
      <c r="AF84" s="249"/>
      <c r="AG84" s="249"/>
      <c r="AH84" s="249"/>
      <c r="AI84" s="249"/>
      <c r="AJ84" s="249"/>
      <c r="AK84" s="249"/>
      <c r="AL84" s="249"/>
      <c r="AM84" s="249"/>
      <c r="AN84" s="248"/>
      <c r="AO84" s="248"/>
      <c r="AP84" s="248"/>
      <c r="AQ84" s="248"/>
      <c r="AR84" s="248"/>
      <c r="AS84" s="247"/>
      <c r="AT84" s="249"/>
      <c r="AU84" s="249"/>
      <c r="AV84" s="249"/>
      <c r="AW84" s="249"/>
      <c r="AX84" s="249"/>
      <c r="AY84" s="249"/>
      <c r="AZ84" s="249"/>
      <c r="BA84" s="249"/>
      <c r="BB84" s="249"/>
      <c r="BC84" s="248"/>
      <c r="BD84" s="248"/>
      <c r="BE84" s="248"/>
      <c r="BF84" s="248"/>
      <c r="BG84" s="248"/>
    </row>
    <row r="85" spans="1:59" x14ac:dyDescent="0.45">
      <c r="A85" s="248"/>
      <c r="B85" s="248"/>
      <c r="C85" s="248"/>
      <c r="D85" s="248"/>
      <c r="E85" s="248"/>
      <c r="F85" s="249"/>
      <c r="G85" s="248"/>
      <c r="H85" s="248"/>
      <c r="I85" s="248"/>
      <c r="J85" s="248"/>
      <c r="K85" s="248"/>
      <c r="L85" s="248"/>
      <c r="M85" s="248"/>
      <c r="N85" s="248"/>
      <c r="O85" s="247"/>
      <c r="P85" s="249"/>
      <c r="Q85" s="249"/>
      <c r="R85" s="249"/>
      <c r="S85" s="249"/>
      <c r="T85" s="249"/>
      <c r="U85" s="249"/>
      <c r="V85" s="249"/>
      <c r="W85" s="249"/>
      <c r="X85" s="249"/>
      <c r="Y85" s="248"/>
      <c r="Z85" s="248"/>
      <c r="AA85" s="248"/>
      <c r="AB85" s="248"/>
      <c r="AC85" s="248"/>
      <c r="AD85" s="247"/>
      <c r="AE85" s="249"/>
      <c r="AF85" s="249"/>
      <c r="AG85" s="249"/>
      <c r="AH85" s="249"/>
      <c r="AI85" s="249"/>
      <c r="AJ85" s="249"/>
      <c r="AK85" s="249"/>
      <c r="AL85" s="249"/>
      <c r="AM85" s="249"/>
      <c r="AN85" s="248"/>
      <c r="AO85" s="248"/>
      <c r="AP85" s="248"/>
      <c r="AQ85" s="248"/>
      <c r="AR85" s="248"/>
      <c r="AS85" s="247"/>
      <c r="AT85" s="249"/>
      <c r="AU85" s="249"/>
      <c r="AV85" s="249"/>
      <c r="AW85" s="249"/>
      <c r="AX85" s="249"/>
      <c r="AY85" s="249"/>
      <c r="AZ85" s="249"/>
      <c r="BA85" s="249"/>
      <c r="BB85" s="249"/>
      <c r="BC85" s="248"/>
      <c r="BD85" s="248"/>
      <c r="BE85" s="248"/>
      <c r="BF85" s="248"/>
      <c r="BG85" s="248"/>
    </row>
    <row r="86" spans="1:59" x14ac:dyDescent="0.45">
      <c r="A86" s="248"/>
      <c r="B86" s="248"/>
      <c r="C86" s="248"/>
      <c r="D86" s="248"/>
      <c r="E86" s="248"/>
      <c r="F86" s="248"/>
      <c r="G86" s="248"/>
      <c r="H86" s="248"/>
      <c r="I86" s="248"/>
      <c r="J86" s="248"/>
      <c r="K86" s="248"/>
      <c r="L86" s="248"/>
      <c r="M86" s="248"/>
      <c r="N86" s="248"/>
      <c r="O86" s="247"/>
      <c r="P86" s="249"/>
      <c r="Q86" s="249"/>
      <c r="R86" s="249"/>
      <c r="S86" s="249"/>
      <c r="T86" s="249"/>
      <c r="U86" s="249"/>
      <c r="V86" s="249"/>
      <c r="W86" s="249"/>
      <c r="X86" s="249"/>
      <c r="Y86" s="249"/>
      <c r="Z86" s="249"/>
      <c r="AA86" s="249"/>
      <c r="AB86" s="249"/>
      <c r="AC86" s="249"/>
      <c r="AD86" s="247"/>
      <c r="AE86" s="249"/>
      <c r="AF86" s="249"/>
      <c r="AG86" s="249"/>
      <c r="AH86" s="249"/>
      <c r="AI86" s="249"/>
      <c r="AJ86" s="249"/>
      <c r="AK86" s="249"/>
      <c r="AL86" s="249"/>
      <c r="AM86" s="249"/>
      <c r="AN86" s="249"/>
      <c r="AO86" s="249"/>
      <c r="AP86" s="249"/>
      <c r="AQ86" s="249"/>
      <c r="AR86" s="249"/>
      <c r="AS86" s="247"/>
      <c r="AT86" s="249"/>
      <c r="AU86" s="249"/>
      <c r="AV86" s="249"/>
      <c r="AW86" s="249"/>
      <c r="AX86" s="249"/>
      <c r="AY86" s="249"/>
      <c r="AZ86" s="249"/>
      <c r="BA86" s="249"/>
      <c r="BB86" s="249"/>
      <c r="BC86" s="249"/>
      <c r="BD86" s="249"/>
      <c r="BE86" s="249"/>
      <c r="BF86" s="249"/>
      <c r="BG86" s="249"/>
    </row>
    <row r="87" spans="1:59" x14ac:dyDescent="0.45">
      <c r="A87" s="470" t="s">
        <v>277</v>
      </c>
      <c r="B87" s="448"/>
      <c r="C87" s="448"/>
      <c r="D87" s="448"/>
      <c r="E87" s="448"/>
      <c r="F87" s="448"/>
      <c r="G87" s="448"/>
      <c r="H87" s="448"/>
      <c r="I87" s="448"/>
      <c r="J87" s="448"/>
      <c r="K87" s="448"/>
      <c r="L87" s="448"/>
      <c r="M87" s="448"/>
      <c r="N87" s="448"/>
      <c r="O87" s="448"/>
      <c r="P87" s="448"/>
      <c r="Q87" s="448"/>
      <c r="R87" s="448"/>
      <c r="S87" s="448"/>
      <c r="T87" s="448"/>
      <c r="U87" s="448"/>
      <c r="V87" s="448"/>
      <c r="W87" s="448"/>
      <c r="X87" s="448"/>
      <c r="Y87" s="448"/>
      <c r="Z87" s="448"/>
      <c r="AA87" s="448"/>
      <c r="AB87" s="448"/>
      <c r="AC87" s="448"/>
      <c r="AD87" s="448"/>
      <c r="AE87" s="448"/>
      <c r="AF87" s="448"/>
      <c r="AG87" s="448"/>
      <c r="AH87" s="448"/>
      <c r="AI87" s="448"/>
      <c r="AJ87" s="448"/>
      <c r="AK87" s="448"/>
      <c r="AL87" s="448"/>
      <c r="AM87" s="448"/>
      <c r="AN87" s="448"/>
      <c r="AO87" s="448"/>
      <c r="AP87" s="448"/>
      <c r="AQ87" s="448"/>
      <c r="AR87" s="448"/>
      <c r="AS87" s="448"/>
      <c r="AT87" s="448"/>
      <c r="AU87" s="448"/>
      <c r="AV87" s="448"/>
      <c r="AW87" s="448"/>
      <c r="AX87" s="448"/>
      <c r="AY87" s="448"/>
      <c r="AZ87" s="448"/>
      <c r="BA87" s="448"/>
      <c r="BB87" s="448"/>
      <c r="BC87" s="448"/>
      <c r="BD87" s="448"/>
      <c r="BE87" s="448"/>
      <c r="BF87" s="448"/>
      <c r="BG87" s="448"/>
    </row>
    <row r="88" spans="1:59" x14ac:dyDescent="0.45">
      <c r="A88" s="249"/>
      <c r="B88" s="249"/>
      <c r="C88" s="249"/>
      <c r="D88" s="249"/>
      <c r="E88" s="249"/>
      <c r="F88" s="249"/>
      <c r="G88" s="249"/>
      <c r="H88" s="249"/>
      <c r="I88" s="249"/>
      <c r="J88" s="248"/>
      <c r="K88" s="248"/>
      <c r="L88" s="248"/>
      <c r="M88" s="248"/>
      <c r="N88" s="248"/>
      <c r="O88" s="247"/>
      <c r="P88" s="249"/>
      <c r="Q88" s="249"/>
      <c r="R88" s="249"/>
      <c r="S88" s="249"/>
      <c r="T88" s="249"/>
      <c r="U88" s="249"/>
      <c r="V88" s="249"/>
      <c r="W88" s="249"/>
      <c r="X88" s="249"/>
      <c r="Y88" s="248"/>
      <c r="Z88" s="248"/>
      <c r="AA88" s="248"/>
      <c r="AB88" s="248"/>
      <c r="AC88" s="248"/>
      <c r="AD88" s="247"/>
      <c r="AE88" s="249"/>
      <c r="AF88" s="249"/>
      <c r="AG88" s="249"/>
      <c r="AH88" s="249"/>
      <c r="AI88" s="249"/>
      <c r="AJ88" s="249"/>
      <c r="AK88" s="249"/>
      <c r="AL88" s="249"/>
      <c r="AM88" s="249"/>
      <c r="AN88" s="248"/>
      <c r="AO88" s="248"/>
      <c r="AP88" s="248"/>
      <c r="AQ88" s="248"/>
      <c r="AR88" s="248"/>
      <c r="AS88" s="247"/>
      <c r="AT88" s="249"/>
      <c r="AU88" s="249"/>
      <c r="AV88" s="249"/>
      <c r="AW88" s="249"/>
      <c r="AX88" s="249"/>
      <c r="AY88" s="249"/>
      <c r="AZ88" s="249"/>
      <c r="BA88" s="249"/>
      <c r="BB88" s="249"/>
      <c r="BC88" s="248"/>
      <c r="BD88" s="248"/>
      <c r="BE88" s="248"/>
      <c r="BF88" s="248"/>
      <c r="BG88" s="248"/>
    </row>
    <row r="89" spans="1:59" x14ac:dyDescent="0.45">
      <c r="A89" s="249"/>
      <c r="B89" s="249"/>
      <c r="C89" s="249"/>
      <c r="D89" s="249"/>
      <c r="E89" s="249"/>
      <c r="F89" s="249"/>
      <c r="G89" s="249"/>
      <c r="H89" s="249"/>
      <c r="I89" s="249"/>
      <c r="J89" s="248"/>
      <c r="K89" s="248"/>
      <c r="L89" s="248"/>
      <c r="M89" s="248"/>
      <c r="N89" s="248"/>
      <c r="O89" s="247"/>
      <c r="P89" s="249"/>
      <c r="Q89" s="249"/>
      <c r="R89" s="249"/>
      <c r="S89" s="249"/>
      <c r="T89" s="249"/>
      <c r="U89" s="249"/>
      <c r="V89" s="249"/>
      <c r="W89" s="249"/>
      <c r="X89" s="249"/>
      <c r="Y89" s="248"/>
      <c r="Z89" s="248"/>
      <c r="AA89" s="248"/>
      <c r="AB89" s="248"/>
      <c r="AC89" s="248"/>
      <c r="AD89" s="247"/>
      <c r="AE89" s="249"/>
      <c r="AF89" s="249"/>
      <c r="AG89" s="249"/>
      <c r="AH89" s="249"/>
      <c r="AI89" s="249"/>
      <c r="AJ89" s="249"/>
      <c r="AK89" s="249"/>
      <c r="AL89" s="249"/>
      <c r="AM89" s="249"/>
      <c r="AN89" s="248"/>
      <c r="AO89" s="248"/>
      <c r="AP89" s="248"/>
      <c r="AQ89" s="248"/>
      <c r="AR89" s="248"/>
      <c r="AS89" s="247"/>
      <c r="AT89" s="249"/>
      <c r="AU89" s="249"/>
      <c r="AV89" s="249"/>
      <c r="AW89" s="249"/>
      <c r="AX89" s="249"/>
      <c r="AY89" s="249"/>
      <c r="AZ89" s="249"/>
      <c r="BA89" s="249"/>
      <c r="BB89" s="249"/>
      <c r="BC89" s="248"/>
      <c r="BD89" s="248"/>
      <c r="BE89" s="248"/>
      <c r="BF89" s="248"/>
      <c r="BG89" s="248"/>
    </row>
    <row r="90" spans="1:59" x14ac:dyDescent="0.45">
      <c r="A90" s="249"/>
      <c r="B90" s="249"/>
      <c r="C90" s="249"/>
      <c r="D90" s="249"/>
      <c r="E90" s="249"/>
      <c r="F90" s="249"/>
      <c r="G90" s="249"/>
      <c r="H90" s="249"/>
      <c r="I90" s="249"/>
      <c r="J90" s="249"/>
      <c r="K90" s="249"/>
      <c r="L90" s="249"/>
      <c r="M90" s="249"/>
      <c r="N90" s="249"/>
      <c r="O90" s="247"/>
      <c r="P90" s="249"/>
      <c r="Q90" s="249"/>
      <c r="R90" s="249"/>
      <c r="S90" s="249"/>
      <c r="T90" s="249"/>
      <c r="U90" s="249"/>
      <c r="V90" s="249"/>
      <c r="W90" s="249"/>
      <c r="X90" s="249"/>
      <c r="Y90" s="249"/>
      <c r="Z90" s="249"/>
      <c r="AA90" s="249"/>
      <c r="AB90" s="249"/>
      <c r="AC90" s="249"/>
      <c r="AD90" s="247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7"/>
      <c r="AT90" s="249"/>
      <c r="AU90" s="249"/>
      <c r="AV90" s="249"/>
      <c r="AW90" s="249"/>
      <c r="AX90" s="249"/>
      <c r="AY90" s="249"/>
      <c r="AZ90" s="249"/>
      <c r="BA90" s="249"/>
      <c r="BB90" s="249"/>
      <c r="BC90" s="249"/>
      <c r="BD90" s="249"/>
      <c r="BE90" s="249"/>
      <c r="BF90" s="249"/>
      <c r="BG90" s="249"/>
    </row>
    <row r="91" spans="1:59" x14ac:dyDescent="0.45">
      <c r="A91" s="449"/>
      <c r="B91" s="450"/>
      <c r="C91" s="249"/>
      <c r="D91" s="449"/>
      <c r="E91" s="450"/>
      <c r="F91" s="249"/>
      <c r="G91" s="457"/>
      <c r="H91" s="458"/>
      <c r="I91" s="249"/>
      <c r="J91" s="449"/>
      <c r="K91" s="450"/>
      <c r="L91" s="249"/>
      <c r="M91" s="461" t="s">
        <v>81</v>
      </c>
      <c r="N91" s="462"/>
      <c r="O91" s="247"/>
      <c r="P91" s="449"/>
      <c r="Q91" s="450"/>
      <c r="R91" s="249"/>
      <c r="S91" s="449"/>
      <c r="T91" s="450"/>
      <c r="U91" s="249"/>
      <c r="V91" s="457"/>
      <c r="W91" s="458"/>
      <c r="X91" s="249"/>
      <c r="Y91" s="449"/>
      <c r="Z91" s="450"/>
      <c r="AA91" s="249"/>
      <c r="AB91" s="461" t="s">
        <v>81</v>
      </c>
      <c r="AC91" s="462"/>
      <c r="AD91" s="247"/>
      <c r="AE91" s="449"/>
      <c r="AF91" s="450"/>
      <c r="AG91" s="249"/>
      <c r="AH91" s="449"/>
      <c r="AI91" s="450"/>
      <c r="AJ91" s="249"/>
      <c r="AK91" s="457"/>
      <c r="AL91" s="458"/>
      <c r="AM91" s="249"/>
      <c r="AN91" s="461"/>
      <c r="AO91" s="462"/>
      <c r="AP91" s="246"/>
      <c r="AQ91" s="246"/>
      <c r="AR91" s="246"/>
      <c r="AS91" s="247"/>
      <c r="AT91" s="250"/>
      <c r="AU91" s="251"/>
      <c r="AV91" s="249"/>
      <c r="AW91" s="453" t="s">
        <v>54</v>
      </c>
      <c r="AX91" s="454"/>
      <c r="AY91" s="249"/>
      <c r="AZ91" s="449" t="s">
        <v>53</v>
      </c>
      <c r="BA91" s="450"/>
      <c r="BB91" s="249"/>
      <c r="BC91" s="465"/>
      <c r="BD91" s="450"/>
      <c r="BE91" s="249"/>
      <c r="BF91" s="449"/>
      <c r="BG91" s="450"/>
    </row>
    <row r="92" spans="1:59" x14ac:dyDescent="0.45">
      <c r="A92" s="451"/>
      <c r="B92" s="452"/>
      <c r="C92" s="249"/>
      <c r="D92" s="451"/>
      <c r="E92" s="452"/>
      <c r="F92" s="249"/>
      <c r="G92" s="459"/>
      <c r="H92" s="460"/>
      <c r="I92" s="249"/>
      <c r="J92" s="451"/>
      <c r="K92" s="452"/>
      <c r="L92" s="249"/>
      <c r="M92" s="463"/>
      <c r="N92" s="464"/>
      <c r="O92" s="247"/>
      <c r="P92" s="451"/>
      <c r="Q92" s="452"/>
      <c r="R92" s="249"/>
      <c r="S92" s="451"/>
      <c r="T92" s="452"/>
      <c r="U92" s="249"/>
      <c r="V92" s="459"/>
      <c r="W92" s="460"/>
      <c r="X92" s="249"/>
      <c r="Y92" s="451"/>
      <c r="Z92" s="452"/>
      <c r="AA92" s="249"/>
      <c r="AB92" s="463"/>
      <c r="AC92" s="464"/>
      <c r="AD92" s="247"/>
      <c r="AE92" s="451"/>
      <c r="AF92" s="452"/>
      <c r="AG92" s="249"/>
      <c r="AH92" s="451"/>
      <c r="AI92" s="452"/>
      <c r="AJ92" s="249"/>
      <c r="AK92" s="459"/>
      <c r="AL92" s="460"/>
      <c r="AM92" s="249"/>
      <c r="AN92" s="463"/>
      <c r="AO92" s="464"/>
      <c r="AP92" s="246"/>
      <c r="AQ92" s="246"/>
      <c r="AR92" s="246"/>
      <c r="AS92" s="247"/>
      <c r="AT92" s="252"/>
      <c r="AU92" s="253"/>
      <c r="AV92" s="249"/>
      <c r="AW92" s="455"/>
      <c r="AX92" s="456"/>
      <c r="AY92" s="249"/>
      <c r="AZ92" s="451"/>
      <c r="BA92" s="452"/>
      <c r="BB92" s="249"/>
      <c r="BC92" s="451"/>
      <c r="BD92" s="452"/>
      <c r="BE92" s="249"/>
      <c r="BF92" s="451"/>
      <c r="BG92" s="452"/>
    </row>
    <row r="93" spans="1:59" x14ac:dyDescent="0.45">
      <c r="A93" s="248"/>
      <c r="B93" s="248"/>
      <c r="C93" s="249"/>
      <c r="D93" s="248"/>
      <c r="E93" s="248"/>
      <c r="F93" s="249"/>
      <c r="G93" s="248"/>
      <c r="H93" s="248"/>
      <c r="I93" s="249"/>
      <c r="J93" s="248"/>
      <c r="K93" s="248"/>
      <c r="L93" s="248"/>
      <c r="M93" s="248"/>
      <c r="N93" s="248"/>
      <c r="O93" s="247"/>
      <c r="P93" s="249"/>
      <c r="Q93" s="249"/>
      <c r="R93" s="249"/>
      <c r="S93" s="249"/>
      <c r="T93" s="249"/>
      <c r="U93" s="249"/>
      <c r="V93" s="249"/>
      <c r="W93" s="249"/>
      <c r="X93" s="249"/>
      <c r="Y93" s="248"/>
      <c r="Z93" s="248"/>
      <c r="AA93" s="248"/>
      <c r="AB93" s="248"/>
      <c r="AC93" s="248"/>
      <c r="AD93" s="247"/>
      <c r="AE93" s="249"/>
      <c r="AF93" s="249"/>
      <c r="AG93" s="249"/>
      <c r="AH93" s="249"/>
      <c r="AI93" s="249"/>
      <c r="AJ93" s="249"/>
      <c r="AK93" s="249"/>
      <c r="AL93" s="249"/>
      <c r="AM93" s="249"/>
      <c r="AN93" s="248"/>
      <c r="AO93" s="248"/>
      <c r="AP93" s="248"/>
      <c r="AQ93" s="248"/>
      <c r="AR93" s="248"/>
      <c r="AS93" s="247"/>
      <c r="AT93" s="249"/>
      <c r="AU93" s="249"/>
      <c r="AV93" s="249"/>
      <c r="AW93" s="249"/>
      <c r="AX93" s="249"/>
      <c r="AY93" s="249"/>
      <c r="AZ93" s="249"/>
      <c r="BA93" s="249"/>
      <c r="BB93" s="249"/>
      <c r="BC93" s="248"/>
      <c r="BD93" s="248"/>
      <c r="BE93" s="248"/>
      <c r="BF93" s="248"/>
      <c r="BG93" s="248"/>
    </row>
    <row r="94" spans="1:59" x14ac:dyDescent="0.45">
      <c r="A94" s="248"/>
      <c r="B94" s="248"/>
      <c r="C94" s="248"/>
      <c r="D94" s="248"/>
      <c r="E94" s="248"/>
      <c r="F94" s="249"/>
      <c r="G94" s="248"/>
      <c r="H94" s="248"/>
      <c r="I94" s="248"/>
      <c r="J94" s="248"/>
      <c r="K94" s="248"/>
      <c r="L94" s="248"/>
      <c r="M94" s="248"/>
      <c r="N94" s="248"/>
      <c r="O94" s="247"/>
      <c r="P94" s="249"/>
      <c r="Q94" s="249"/>
      <c r="R94" s="249"/>
      <c r="S94" s="249"/>
      <c r="T94" s="249"/>
      <c r="U94" s="249"/>
      <c r="V94" s="249"/>
      <c r="W94" s="249"/>
      <c r="X94" s="249"/>
      <c r="Y94" s="248"/>
      <c r="Z94" s="248"/>
      <c r="AA94" s="248"/>
      <c r="AB94" s="248"/>
      <c r="AC94" s="248"/>
      <c r="AD94" s="247"/>
      <c r="AE94" s="249"/>
      <c r="AF94" s="249"/>
      <c r="AG94" s="249"/>
      <c r="AH94" s="249"/>
      <c r="AI94" s="249"/>
      <c r="AJ94" s="249"/>
      <c r="AK94" s="249"/>
      <c r="AL94" s="249"/>
      <c r="AM94" s="249"/>
      <c r="AN94" s="248"/>
      <c r="AO94" s="248"/>
      <c r="AP94" s="248"/>
      <c r="AQ94" s="248"/>
      <c r="AR94" s="248"/>
      <c r="AS94" s="247"/>
      <c r="AT94" s="249"/>
      <c r="AU94" s="249"/>
      <c r="AV94" s="249"/>
      <c r="AW94" s="249"/>
      <c r="AX94" s="249"/>
      <c r="AY94" s="249"/>
      <c r="AZ94" s="249"/>
      <c r="BA94" s="249"/>
      <c r="BB94" s="249"/>
      <c r="BC94" s="248"/>
      <c r="BD94" s="248"/>
      <c r="BE94" s="248"/>
      <c r="BF94" s="248"/>
      <c r="BG94" s="248"/>
    </row>
    <row r="95" spans="1:59" x14ac:dyDescent="0.45">
      <c r="A95" s="248"/>
      <c r="B95" s="248"/>
      <c r="C95" s="248"/>
      <c r="D95" s="248"/>
      <c r="E95" s="248"/>
      <c r="F95" s="248"/>
      <c r="G95" s="248"/>
      <c r="H95" s="248"/>
      <c r="I95" s="248"/>
      <c r="J95" s="248"/>
      <c r="K95" s="248"/>
      <c r="L95" s="248"/>
      <c r="M95" s="248"/>
      <c r="N95" s="248"/>
      <c r="O95" s="247"/>
      <c r="P95" s="249"/>
      <c r="Q95" s="249"/>
      <c r="R95" s="249"/>
      <c r="S95" s="249"/>
      <c r="T95" s="249"/>
      <c r="U95" s="249"/>
      <c r="V95" s="249"/>
      <c r="W95" s="249"/>
      <c r="X95" s="249"/>
      <c r="Y95" s="249"/>
      <c r="Z95" s="249"/>
      <c r="AA95" s="249"/>
      <c r="AB95" s="249"/>
      <c r="AC95" s="249"/>
      <c r="AD95" s="247"/>
      <c r="AE95" s="249"/>
      <c r="AF95" s="249"/>
      <c r="AG95" s="249"/>
      <c r="AH95" s="249"/>
      <c r="AI95" s="249"/>
      <c r="AJ95" s="249"/>
      <c r="AK95" s="249"/>
      <c r="AL95" s="249"/>
      <c r="AM95" s="249"/>
      <c r="AN95" s="249"/>
      <c r="AO95" s="249"/>
      <c r="AP95" s="249"/>
      <c r="AQ95" s="249"/>
      <c r="AR95" s="249"/>
      <c r="AS95" s="247"/>
      <c r="AT95" s="249"/>
      <c r="AU95" s="249"/>
      <c r="AV95" s="249"/>
      <c r="AW95" s="249"/>
      <c r="AX95" s="249"/>
      <c r="AY95" s="249"/>
      <c r="AZ95" s="249"/>
      <c r="BA95" s="249"/>
      <c r="BB95" s="249"/>
      <c r="BC95" s="249"/>
      <c r="BD95" s="249"/>
      <c r="BE95" s="249"/>
      <c r="BF95" s="249"/>
      <c r="BG95" s="249"/>
    </row>
  </sheetData>
  <mergeCells count="197">
    <mergeCell ref="A87:BG87"/>
    <mergeCell ref="A91:B92"/>
    <mergeCell ref="D91:E92"/>
    <mergeCell ref="G91:H92"/>
    <mergeCell ref="J91:K92"/>
    <mergeCell ref="M91:N92"/>
    <mergeCell ref="P91:Q92"/>
    <mergeCell ref="S91:T92"/>
    <mergeCell ref="V91:W92"/>
    <mergeCell ref="Y91:Z92"/>
    <mergeCell ref="AB91:AC92"/>
    <mergeCell ref="AE91:AF92"/>
    <mergeCell ref="AH91:AI92"/>
    <mergeCell ref="AK91:AL92"/>
    <mergeCell ref="AN91:AO92"/>
    <mergeCell ref="AW91:AX92"/>
    <mergeCell ref="BC91:BD92"/>
    <mergeCell ref="BF91:BG92"/>
    <mergeCell ref="AZ91:BA92"/>
    <mergeCell ref="A78:BG78"/>
    <mergeCell ref="A82:B83"/>
    <mergeCell ref="D82:E83"/>
    <mergeCell ref="G82:H83"/>
    <mergeCell ref="J82:K83"/>
    <mergeCell ref="M82:N83"/>
    <mergeCell ref="P82:Q83"/>
    <mergeCell ref="S82:T83"/>
    <mergeCell ref="V82:W83"/>
    <mergeCell ref="Y82:Z83"/>
    <mergeCell ref="AB82:AC83"/>
    <mergeCell ref="AE82:AF83"/>
    <mergeCell ref="AH82:AI83"/>
    <mergeCell ref="AK82:AL83"/>
    <mergeCell ref="AN82:AO83"/>
    <mergeCell ref="AW82:AX83"/>
    <mergeCell ref="AZ82:BA83"/>
    <mergeCell ref="BC82:BD83"/>
    <mergeCell ref="BF82:BG83"/>
    <mergeCell ref="A69:BG69"/>
    <mergeCell ref="A73:B74"/>
    <mergeCell ref="D73:E74"/>
    <mergeCell ref="G73:H74"/>
    <mergeCell ref="J73:K74"/>
    <mergeCell ref="M73:N74"/>
    <mergeCell ref="P73:Q74"/>
    <mergeCell ref="S73:T74"/>
    <mergeCell ref="V73:W74"/>
    <mergeCell ref="Y73:Z74"/>
    <mergeCell ref="AB73:AC74"/>
    <mergeCell ref="AE73:AF74"/>
    <mergeCell ref="AH73:AI74"/>
    <mergeCell ref="AK73:AL74"/>
    <mergeCell ref="AN73:AO74"/>
    <mergeCell ref="AW73:AX74"/>
    <mergeCell ref="AZ73:BA74"/>
    <mergeCell ref="BC73:BD74"/>
    <mergeCell ref="BF73:BG74"/>
    <mergeCell ref="P55:Q56"/>
    <mergeCell ref="S55:T56"/>
    <mergeCell ref="V55:W56"/>
    <mergeCell ref="Y55:Z56"/>
    <mergeCell ref="A60:BG60"/>
    <mergeCell ref="A64:B65"/>
    <mergeCell ref="D64:E65"/>
    <mergeCell ref="G64:H65"/>
    <mergeCell ref="J64:K65"/>
    <mergeCell ref="M64:N65"/>
    <mergeCell ref="P64:Q65"/>
    <mergeCell ref="S64:T65"/>
    <mergeCell ref="V64:W65"/>
    <mergeCell ref="Y64:Z65"/>
    <mergeCell ref="AB64:AC65"/>
    <mergeCell ref="AE64:AF65"/>
    <mergeCell ref="AH64:AI65"/>
    <mergeCell ref="AK64:AL65"/>
    <mergeCell ref="AN64:AO65"/>
    <mergeCell ref="AW64:AX65"/>
    <mergeCell ref="AZ64:BA65"/>
    <mergeCell ref="BC64:BD65"/>
    <mergeCell ref="BF64:BG65"/>
    <mergeCell ref="A1:BG1"/>
    <mergeCell ref="A11:BG11"/>
    <mergeCell ref="A21:BG21"/>
    <mergeCell ref="A31:BG31"/>
    <mergeCell ref="BF15:BG16"/>
    <mergeCell ref="M25:N26"/>
    <mergeCell ref="AB25:AC26"/>
    <mergeCell ref="AQ25:AR26"/>
    <mergeCell ref="BF25:BG26"/>
    <mergeCell ref="D5:E6"/>
    <mergeCell ref="G5:H6"/>
    <mergeCell ref="A25:B26"/>
    <mergeCell ref="J25:K26"/>
    <mergeCell ref="Y25:Z26"/>
    <mergeCell ref="AT25:AU26"/>
    <mergeCell ref="M15:N16"/>
    <mergeCell ref="AB15:AC16"/>
    <mergeCell ref="AQ15:AR16"/>
    <mergeCell ref="A5:B6"/>
    <mergeCell ref="AT5:AU6"/>
    <mergeCell ref="AW5:AX6"/>
    <mergeCell ref="AZ5:BA6"/>
    <mergeCell ref="J5:K6"/>
    <mergeCell ref="AE5:AF6"/>
    <mergeCell ref="A15:B16"/>
    <mergeCell ref="D15:E16"/>
    <mergeCell ref="G15:H16"/>
    <mergeCell ref="J15:K16"/>
    <mergeCell ref="AT15:AU16"/>
    <mergeCell ref="AW15:AX16"/>
    <mergeCell ref="AE15:AF16"/>
    <mergeCell ref="AH15:AI16"/>
    <mergeCell ref="AK15:AL16"/>
    <mergeCell ref="AN15:AO16"/>
    <mergeCell ref="P15:Q16"/>
    <mergeCell ref="S15:T16"/>
    <mergeCell ref="V15:W16"/>
    <mergeCell ref="Y15:Z16"/>
    <mergeCell ref="AZ25:BA26"/>
    <mergeCell ref="BC25:BD26"/>
    <mergeCell ref="P25:Q26"/>
    <mergeCell ref="AH5:AI6"/>
    <mergeCell ref="AK5:AL6"/>
    <mergeCell ref="AN5:AO6"/>
    <mergeCell ref="P5:Q6"/>
    <mergeCell ref="S5:T6"/>
    <mergeCell ref="V5:W6"/>
    <mergeCell ref="Y5:Z6"/>
    <mergeCell ref="BC5:BD6"/>
    <mergeCell ref="AZ15:BA16"/>
    <mergeCell ref="BC15:BD16"/>
    <mergeCell ref="AW25:AX26"/>
    <mergeCell ref="AE25:AF26"/>
    <mergeCell ref="AN25:AO26"/>
    <mergeCell ref="AH25:AI26"/>
    <mergeCell ref="S25:T26"/>
    <mergeCell ref="V25:W26"/>
    <mergeCell ref="AK25:AL26"/>
    <mergeCell ref="AW35:AX36"/>
    <mergeCell ref="AT35:AU36"/>
    <mergeCell ref="D35:E36"/>
    <mergeCell ref="G35:H36"/>
    <mergeCell ref="P35:Q36"/>
    <mergeCell ref="S35:T36"/>
    <mergeCell ref="J35:K36"/>
    <mergeCell ref="Y35:Z36"/>
    <mergeCell ref="AE35:AF36"/>
    <mergeCell ref="AH35:AI36"/>
    <mergeCell ref="AK35:AL36"/>
    <mergeCell ref="D25:E26"/>
    <mergeCell ref="G25:H26"/>
    <mergeCell ref="AZ35:BA36"/>
    <mergeCell ref="BC35:BD36"/>
    <mergeCell ref="BF35:BG36"/>
    <mergeCell ref="A41:BG41"/>
    <mergeCell ref="A45:B46"/>
    <mergeCell ref="J45:K46"/>
    <mergeCell ref="M45:N46"/>
    <mergeCell ref="AN45:AO46"/>
    <mergeCell ref="A35:B36"/>
    <mergeCell ref="M35:N36"/>
    <mergeCell ref="AB35:AC36"/>
    <mergeCell ref="Y45:Z46"/>
    <mergeCell ref="AB45:AC46"/>
    <mergeCell ref="AE45:AF46"/>
    <mergeCell ref="AH45:AI46"/>
    <mergeCell ref="AT45:AU46"/>
    <mergeCell ref="AW45:AX46"/>
    <mergeCell ref="AZ45:BA46"/>
    <mergeCell ref="BC45:BD46"/>
    <mergeCell ref="BF45:BG46"/>
    <mergeCell ref="AN35:AO36"/>
    <mergeCell ref="V35:W36"/>
    <mergeCell ref="A51:BG51"/>
    <mergeCell ref="BF55:BG56"/>
    <mergeCell ref="AT55:AU56"/>
    <mergeCell ref="AT64:AU65"/>
    <mergeCell ref="AT73:AU74"/>
    <mergeCell ref="D45:E46"/>
    <mergeCell ref="G45:H46"/>
    <mergeCell ref="P45:Q46"/>
    <mergeCell ref="S45:T46"/>
    <mergeCell ref="V45:W46"/>
    <mergeCell ref="AK45:AL46"/>
    <mergeCell ref="AB55:AC56"/>
    <mergeCell ref="AE55:AF56"/>
    <mergeCell ref="AH55:AI56"/>
    <mergeCell ref="AK55:AL56"/>
    <mergeCell ref="AN55:AO56"/>
    <mergeCell ref="AW55:AX56"/>
    <mergeCell ref="AZ55:BA56"/>
    <mergeCell ref="BC55:BD56"/>
    <mergeCell ref="A55:B56"/>
    <mergeCell ref="D55:E56"/>
    <mergeCell ref="G55:H56"/>
    <mergeCell ref="J55:K56"/>
    <mergeCell ref="M55:N56"/>
  </mergeCells>
  <phoneticPr fontId="2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4A127-A16F-4F19-9F31-3341137D19DF}">
  <dimension ref="A2:AT21"/>
  <sheetViews>
    <sheetView workbookViewId="0"/>
  </sheetViews>
  <sheetFormatPr defaultColWidth="5" defaultRowHeight="22.2" x14ac:dyDescent="0.45"/>
  <cols>
    <col min="1" max="16384" width="5" style="60"/>
  </cols>
  <sheetData>
    <row r="2" spans="1:46" ht="22.8" thickBot="1" x14ac:dyDescent="0.5">
      <c r="F2" s="472" t="s">
        <v>208</v>
      </c>
      <c r="G2" s="472"/>
      <c r="H2" s="472"/>
      <c r="I2" s="472"/>
      <c r="P2" s="471" t="s">
        <v>211</v>
      </c>
      <c r="Q2" s="471"/>
      <c r="R2" s="471"/>
      <c r="S2" s="471"/>
      <c r="Z2" s="471" t="s">
        <v>209</v>
      </c>
      <c r="AA2" s="471"/>
      <c r="AB2" s="471"/>
      <c r="AC2" s="471"/>
    </row>
    <row r="3" spans="1:46" x14ac:dyDescent="0.45">
      <c r="E3" s="189"/>
      <c r="F3" s="128" t="s">
        <v>2</v>
      </c>
      <c r="H3" s="164"/>
      <c r="I3" s="163" t="s">
        <v>2</v>
      </c>
      <c r="J3" s="189"/>
      <c r="O3" s="189"/>
      <c r="P3" s="180" t="s">
        <v>2</v>
      </c>
      <c r="Q3" s="130" t="s">
        <v>2</v>
      </c>
      <c r="R3" s="158"/>
      <c r="S3" s="171"/>
      <c r="T3" s="189"/>
      <c r="U3" s="128" t="s">
        <v>2</v>
      </c>
      <c r="V3" s="129" t="s">
        <v>2</v>
      </c>
      <c r="W3" s="182" t="s">
        <v>2</v>
      </c>
      <c r="X3" s="168" t="s">
        <v>2</v>
      </c>
      <c r="Y3" s="189"/>
      <c r="Z3" s="128" t="s">
        <v>2</v>
      </c>
      <c r="AA3" s="142" t="s">
        <v>2</v>
      </c>
      <c r="AB3" s="187" t="s">
        <v>2</v>
      </c>
      <c r="AC3" s="168" t="s">
        <v>2</v>
      </c>
      <c r="AD3" s="189"/>
      <c r="AE3" s="128" t="s">
        <v>2</v>
      </c>
      <c r="AF3" s="130" t="s">
        <v>2</v>
      </c>
      <c r="AJ3" s="189"/>
      <c r="AO3" s="189"/>
    </row>
    <row r="4" spans="1:46" ht="22.8" thickBot="1" x14ac:dyDescent="0.5">
      <c r="A4" s="471" t="s">
        <v>209</v>
      </c>
      <c r="B4" s="471"/>
      <c r="C4" s="471"/>
      <c r="D4" s="471"/>
      <c r="E4" s="189"/>
      <c r="F4" s="131" t="s">
        <v>2</v>
      </c>
      <c r="G4" s="154"/>
      <c r="H4" s="165"/>
      <c r="I4" s="177" t="s">
        <v>2</v>
      </c>
      <c r="J4" s="189"/>
      <c r="K4" s="471" t="s">
        <v>210</v>
      </c>
      <c r="L4" s="471"/>
      <c r="M4" s="471"/>
      <c r="N4" s="471"/>
      <c r="O4" s="189"/>
      <c r="P4" s="145" t="s">
        <v>2</v>
      </c>
      <c r="Q4" s="151" t="s">
        <v>2</v>
      </c>
      <c r="R4" s="159"/>
      <c r="S4" s="172"/>
      <c r="T4" s="189"/>
      <c r="U4" s="131" t="s">
        <v>2</v>
      </c>
      <c r="V4" s="127" t="s">
        <v>2</v>
      </c>
      <c r="W4" s="127" t="s">
        <v>2</v>
      </c>
      <c r="X4" s="133" t="s">
        <v>2</v>
      </c>
      <c r="Y4" s="189"/>
      <c r="Z4" s="131" t="s">
        <v>2</v>
      </c>
      <c r="AA4" s="147" t="s">
        <v>2</v>
      </c>
      <c r="AB4" s="146" t="s">
        <v>2</v>
      </c>
      <c r="AC4" s="133" t="s">
        <v>2</v>
      </c>
      <c r="AD4" s="189"/>
      <c r="AE4" s="131" t="s">
        <v>2</v>
      </c>
      <c r="AF4" s="133" t="s">
        <v>2</v>
      </c>
      <c r="AJ4" s="189"/>
      <c r="AK4" s="471" t="s">
        <v>209</v>
      </c>
      <c r="AL4" s="471"/>
      <c r="AM4" s="471"/>
      <c r="AN4" s="471"/>
      <c r="AO4" s="189"/>
    </row>
    <row r="5" spans="1:46" x14ac:dyDescent="0.45">
      <c r="A5" s="150" t="s">
        <v>2</v>
      </c>
      <c r="B5" s="152" t="s">
        <v>2</v>
      </c>
      <c r="C5" s="142" t="s">
        <v>2</v>
      </c>
      <c r="D5" s="143" t="s">
        <v>2</v>
      </c>
      <c r="E5" s="189"/>
      <c r="F5" s="145" t="s">
        <v>2</v>
      </c>
      <c r="G5" s="175" t="s">
        <v>2</v>
      </c>
      <c r="H5" s="176" t="s">
        <v>2</v>
      </c>
      <c r="I5" s="151" t="s">
        <v>2</v>
      </c>
      <c r="J5" s="189"/>
      <c r="K5" s="180" t="s">
        <v>2</v>
      </c>
      <c r="L5" s="142" t="s">
        <v>2</v>
      </c>
      <c r="M5" s="152" t="s">
        <v>2</v>
      </c>
      <c r="N5" s="179" t="s">
        <v>2</v>
      </c>
      <c r="O5" s="189"/>
      <c r="P5" s="145" t="s">
        <v>2</v>
      </c>
      <c r="Q5" s="174" t="s">
        <v>2</v>
      </c>
      <c r="R5" s="152" t="s">
        <v>2</v>
      </c>
      <c r="S5" s="179" t="s">
        <v>2</v>
      </c>
      <c r="T5" s="189"/>
      <c r="U5" s="131" t="s">
        <v>2</v>
      </c>
      <c r="V5" s="183" t="s">
        <v>2</v>
      </c>
      <c r="W5" s="184"/>
      <c r="X5" s="185"/>
      <c r="Y5" s="189"/>
      <c r="Z5" s="131" t="s">
        <v>2</v>
      </c>
      <c r="AA5" s="183" t="s">
        <v>2</v>
      </c>
      <c r="AB5" s="184"/>
      <c r="AC5" s="185"/>
      <c r="AD5" s="189"/>
      <c r="AE5" s="161" t="s">
        <v>2</v>
      </c>
      <c r="AF5" s="188" t="s">
        <v>2</v>
      </c>
      <c r="AG5" s="157"/>
      <c r="AH5" s="128" t="s">
        <v>2</v>
      </c>
      <c r="AI5" s="168" t="s">
        <v>2</v>
      </c>
      <c r="AJ5" s="189"/>
      <c r="AK5" s="128" t="s">
        <v>2</v>
      </c>
      <c r="AL5" s="142" t="s">
        <v>2</v>
      </c>
      <c r="AM5" s="152" t="s">
        <v>2</v>
      </c>
      <c r="AN5" s="179" t="s">
        <v>2</v>
      </c>
      <c r="AO5" s="189"/>
      <c r="AP5" s="128" t="s">
        <v>2</v>
      </c>
      <c r="AQ5" s="130" t="s">
        <v>2</v>
      </c>
      <c r="AR5" s="157"/>
      <c r="AS5" s="128" t="s">
        <v>2</v>
      </c>
      <c r="AT5" s="179" t="s">
        <v>2</v>
      </c>
    </row>
    <row r="6" spans="1:46" ht="22.8" thickBot="1" x14ac:dyDescent="0.5">
      <c r="A6" s="131" t="s">
        <v>2</v>
      </c>
      <c r="B6" s="132"/>
      <c r="C6" s="140"/>
      <c r="D6" s="177" t="s">
        <v>2</v>
      </c>
      <c r="E6" s="189"/>
      <c r="F6" s="178" t="s">
        <v>2</v>
      </c>
      <c r="G6" s="137" t="s">
        <v>2</v>
      </c>
      <c r="H6" s="137" t="s">
        <v>2</v>
      </c>
      <c r="I6" s="153" t="s">
        <v>2</v>
      </c>
      <c r="J6" s="189"/>
      <c r="K6" s="139" t="s">
        <v>2</v>
      </c>
      <c r="L6" s="181" t="s">
        <v>2</v>
      </c>
      <c r="M6" s="166"/>
      <c r="N6" s="169"/>
      <c r="O6" s="189"/>
      <c r="P6" s="134" t="s">
        <v>2</v>
      </c>
      <c r="Q6" s="136" t="s">
        <v>2</v>
      </c>
      <c r="R6" s="160" t="s">
        <v>2</v>
      </c>
      <c r="S6" s="173" t="s">
        <v>2</v>
      </c>
      <c r="T6" s="189"/>
      <c r="U6" s="134" t="s">
        <v>2</v>
      </c>
      <c r="V6" s="156" t="s">
        <v>2</v>
      </c>
      <c r="W6" s="186"/>
      <c r="X6" s="172"/>
      <c r="Y6" s="189"/>
      <c r="Z6" s="134" t="s">
        <v>2</v>
      </c>
      <c r="AA6" s="156" t="s">
        <v>2</v>
      </c>
      <c r="AB6" s="186"/>
      <c r="AC6" s="172"/>
      <c r="AD6" s="189"/>
      <c r="AE6" s="160" t="s">
        <v>2</v>
      </c>
      <c r="AF6" s="173" t="s">
        <v>2</v>
      </c>
      <c r="AG6" s="68"/>
      <c r="AH6" s="134" t="s">
        <v>2</v>
      </c>
      <c r="AI6" s="136" t="s">
        <v>2</v>
      </c>
      <c r="AJ6" s="189"/>
      <c r="AK6" s="134" t="s">
        <v>2</v>
      </c>
      <c r="AL6" s="148" t="s">
        <v>2</v>
      </c>
      <c r="AM6" s="149" t="s">
        <v>2</v>
      </c>
      <c r="AN6" s="170" t="s">
        <v>2</v>
      </c>
      <c r="AO6" s="189"/>
      <c r="AP6" s="134" t="s">
        <v>2</v>
      </c>
      <c r="AQ6" s="136" t="s">
        <v>2</v>
      </c>
      <c r="AS6" s="134" t="s">
        <v>2</v>
      </c>
      <c r="AT6" s="170" t="s">
        <v>2</v>
      </c>
    </row>
    <row r="7" spans="1:46" x14ac:dyDescent="0.45">
      <c r="A7" s="131" t="s">
        <v>2</v>
      </c>
      <c r="B7" s="132"/>
      <c r="C7" s="141"/>
      <c r="D7" s="133" t="s">
        <v>2</v>
      </c>
      <c r="K7" s="139" t="s">
        <v>2</v>
      </c>
      <c r="L7" s="181" t="s">
        <v>2</v>
      </c>
      <c r="M7" s="162"/>
      <c r="N7" s="155"/>
      <c r="AG7" s="164"/>
    </row>
    <row r="8" spans="1:46" ht="22.8" thickBot="1" x14ac:dyDescent="0.5">
      <c r="A8" s="178" t="s">
        <v>2</v>
      </c>
      <c r="B8" s="135" t="s">
        <v>2</v>
      </c>
      <c r="C8" s="135" t="s">
        <v>2</v>
      </c>
      <c r="D8" s="138" t="s">
        <v>2</v>
      </c>
      <c r="K8" s="134" t="s">
        <v>2</v>
      </c>
      <c r="L8" s="136" t="s">
        <v>2</v>
      </c>
      <c r="M8" s="134" t="s">
        <v>2</v>
      </c>
      <c r="N8" s="170" t="s">
        <v>2</v>
      </c>
    </row>
    <row r="13" spans="1:46" x14ac:dyDescent="0.45">
      <c r="A13" s="126" t="s">
        <v>24</v>
      </c>
      <c r="B13" s="126" t="s">
        <v>24</v>
      </c>
      <c r="D13" s="126" t="s">
        <v>24</v>
      </c>
      <c r="E13" s="126" t="s">
        <v>24</v>
      </c>
      <c r="H13" s="126" t="s">
        <v>24</v>
      </c>
      <c r="I13" s="126" t="s">
        <v>24</v>
      </c>
      <c r="M13" s="126" t="s">
        <v>24</v>
      </c>
      <c r="N13" s="126" t="s">
        <v>24</v>
      </c>
      <c r="O13" s="126" t="s">
        <v>24</v>
      </c>
      <c r="P13" s="126" t="s">
        <v>24</v>
      </c>
    </row>
    <row r="14" spans="1:46" x14ac:dyDescent="0.45">
      <c r="A14" s="126" t="s">
        <v>24</v>
      </c>
      <c r="B14" s="126" t="s">
        <v>24</v>
      </c>
      <c r="D14" s="126" t="s">
        <v>24</v>
      </c>
      <c r="E14" s="126" t="s">
        <v>24</v>
      </c>
      <c r="H14" s="190" t="s">
        <v>24</v>
      </c>
      <c r="I14" s="167" t="s">
        <v>24</v>
      </c>
      <c r="J14" s="124" t="s">
        <v>24</v>
      </c>
      <c r="K14" s="126" t="s">
        <v>24</v>
      </c>
      <c r="M14" s="126" t="s">
        <v>24</v>
      </c>
      <c r="P14" s="126" t="s">
        <v>24</v>
      </c>
    </row>
    <row r="15" spans="1:46" x14ac:dyDescent="0.45">
      <c r="H15" s="190" t="s">
        <v>24</v>
      </c>
      <c r="I15" s="165" t="s">
        <v>24</v>
      </c>
      <c r="J15" s="125" t="s">
        <v>24</v>
      </c>
      <c r="K15" s="126" t="s">
        <v>24</v>
      </c>
      <c r="M15" s="126" t="s">
        <v>24</v>
      </c>
      <c r="P15" s="126" t="s">
        <v>24</v>
      </c>
    </row>
    <row r="16" spans="1:46" x14ac:dyDescent="0.45">
      <c r="A16" s="126" t="s">
        <v>24</v>
      </c>
      <c r="B16" s="126" t="s">
        <v>24</v>
      </c>
      <c r="H16" s="126" t="s">
        <v>24</v>
      </c>
      <c r="I16" s="126" t="s">
        <v>24</v>
      </c>
      <c r="M16" s="126" t="s">
        <v>24</v>
      </c>
      <c r="N16" s="126" t="s">
        <v>24</v>
      </c>
      <c r="O16" s="126" t="s">
        <v>24</v>
      </c>
      <c r="P16" s="126" t="s">
        <v>24</v>
      </c>
    </row>
    <row r="17" spans="1:10" x14ac:dyDescent="0.45">
      <c r="A17" s="126" t="s">
        <v>24</v>
      </c>
      <c r="B17" s="126" t="s">
        <v>24</v>
      </c>
    </row>
    <row r="18" spans="1:10" x14ac:dyDescent="0.45">
      <c r="H18" s="126" t="s">
        <v>24</v>
      </c>
      <c r="I18" s="124" t="s">
        <v>24</v>
      </c>
      <c r="J18" s="126" t="s">
        <v>24</v>
      </c>
    </row>
    <row r="19" spans="1:10" x14ac:dyDescent="0.45">
      <c r="H19" s="190" t="s">
        <v>24</v>
      </c>
      <c r="I19" s="165" t="s">
        <v>24</v>
      </c>
      <c r="J19" s="124" t="s">
        <v>24</v>
      </c>
    </row>
    <row r="20" spans="1:10" x14ac:dyDescent="0.45">
      <c r="H20" s="190" t="s">
        <v>24</v>
      </c>
      <c r="I20" s="167" t="s">
        <v>24</v>
      </c>
      <c r="J20" s="125" t="s">
        <v>24</v>
      </c>
    </row>
    <row r="21" spans="1:10" x14ac:dyDescent="0.45">
      <c r="H21" s="126" t="s">
        <v>24</v>
      </c>
      <c r="I21" s="125" t="s">
        <v>24</v>
      </c>
      <c r="J21" s="126" t="s">
        <v>24</v>
      </c>
    </row>
  </sheetData>
  <mergeCells count="6">
    <mergeCell ref="AK4:AN4"/>
    <mergeCell ref="A4:D4"/>
    <mergeCell ref="F2:I2"/>
    <mergeCell ref="K4:N4"/>
    <mergeCell ref="P2:S2"/>
    <mergeCell ref="Z2:AC2"/>
  </mergeCells>
  <phoneticPr fontId="2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20</vt:i4>
      </vt:variant>
    </vt:vector>
  </HeadingPairs>
  <TitlesOfParts>
    <vt:vector size="20" baseType="lpstr">
      <vt:lpstr>Index</vt:lpstr>
      <vt:lpstr>元素表</vt:lpstr>
      <vt:lpstr>FlipFlop</vt:lpstr>
      <vt:lpstr>V9I1-1</vt:lpstr>
      <vt:lpstr>V2I4</vt:lpstr>
      <vt:lpstr>Sheet1 (2)</vt:lpstr>
      <vt:lpstr>V7I4-3</vt:lpstr>
      <vt:lpstr>V7I3-3</vt:lpstr>
      <vt:lpstr>V9I1-2</vt:lpstr>
      <vt:lpstr>V5I5-2</vt:lpstr>
      <vt:lpstr>V9I4-2</vt:lpstr>
      <vt:lpstr>V6I2-</vt:lpstr>
      <vt:lpstr>V6I3-</vt:lpstr>
      <vt:lpstr>V7I6-</vt:lpstr>
      <vt:lpstr>V9I7-1</vt:lpstr>
      <vt:lpstr>V9I7-2</vt:lpstr>
      <vt:lpstr>V9I7-3</vt:lpstr>
      <vt:lpstr>V9I8-</vt:lpstr>
      <vt:lpstr>V9I12-</vt:lpstr>
      <vt:lpstr>V9I9-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w802479</dc:creator>
  <cp:lastModifiedBy>w802479</cp:lastModifiedBy>
  <dcterms:created xsi:type="dcterms:W3CDTF">2023-03-02T03:52:41Z</dcterms:created>
  <dcterms:modified xsi:type="dcterms:W3CDTF">2025-02-23T06:52:10Z</dcterms:modified>
</cp:coreProperties>
</file>